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8_{BC2F82B8-7873-44C1-8BCA-D465A9C8D5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U3" i="1" a="1"/>
  <c r="U3" i="1"/>
  <c r="U4" i="1" a="1"/>
  <c r="U4" i="1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/>
  <c r="U22" i="1" a="1"/>
  <c r="U22" i="1"/>
  <c r="U23" i="1" a="1"/>
  <c r="U23" i="1"/>
  <c r="U24" i="1" a="1"/>
  <c r="U24" i="1"/>
  <c r="U25" i="1" a="1"/>
  <c r="U25" i="1"/>
  <c r="U26" i="1" a="1"/>
  <c r="U26" i="1"/>
  <c r="U27" i="1" a="1"/>
  <c r="U27" i="1"/>
  <c r="U28" i="1" a="1"/>
  <c r="U28" i="1"/>
  <c r="U29" i="1" a="1"/>
  <c r="U29" i="1"/>
  <c r="U30" i="1" a="1"/>
  <c r="U30" i="1"/>
  <c r="U31" i="1" a="1"/>
  <c r="U31" i="1"/>
  <c r="U32" i="1" a="1"/>
  <c r="U32" i="1"/>
  <c r="U33" i="1" a="1"/>
  <c r="U33" i="1"/>
  <c r="U34" i="1" a="1"/>
  <c r="U34" i="1"/>
  <c r="U35" i="1" a="1"/>
  <c r="U35" i="1"/>
  <c r="U36" i="1" a="1"/>
  <c r="U36" i="1"/>
  <c r="U37" i="1" a="1"/>
  <c r="U37" i="1"/>
  <c r="U38" i="1" a="1"/>
  <c r="U38" i="1"/>
  <c r="U39" i="1" a="1"/>
  <c r="U39" i="1"/>
  <c r="U40" i="1" a="1"/>
  <c r="U40" i="1"/>
  <c r="U41" i="1" a="1"/>
  <c r="U41" i="1"/>
  <c r="U2" i="1" a="1"/>
  <c r="U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" i="1"/>
  <c r="W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H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<sst xmlns="http://schemas.openxmlformats.org/spreadsheetml/2006/main" count="469" uniqueCount="236">
  <si>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</si>
  <si>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</si>
  <si>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</si>
  <si>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</si>
  <si>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</si>
  <si>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</si>
  <si>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</si>
  <si>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</si>
  <si>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</si>
  <si>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</si>
  <si>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</si>
  <si>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</si>
  <si>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</si>
  <si>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Payment Alert</t>
  </si>
  <si>
    <t>Bill Category</t>
  </si>
  <si>
    <t>Age Category</t>
  </si>
  <si>
    <t>Billing Case</t>
  </si>
  <si>
    <t>Follow Up</t>
  </si>
  <si>
    <t>priority Department</t>
  </si>
  <si>
    <t>Payment Status</t>
  </si>
  <si>
    <t>Bill Status</t>
  </si>
  <si>
    <t>Risk</t>
  </si>
  <si>
    <t>Management Review</t>
  </si>
  <si>
    <t>P1001</t>
  </si>
  <si>
    <t>Aarav Sharma</t>
  </si>
  <si>
    <t>Male</t>
  </si>
  <si>
    <t>Cardiology</t>
  </si>
  <si>
    <t>Hypertension</t>
  </si>
  <si>
    <t>Dr Rao</t>
  </si>
  <si>
    <t>Private Insurance</t>
  </si>
  <si>
    <t>Paid</t>
  </si>
  <si>
    <t>P1002</t>
  </si>
  <si>
    <t>Diya Patel</t>
  </si>
  <si>
    <t>Female</t>
  </si>
  <si>
    <t>Orthopedics</t>
  </si>
  <si>
    <t>Fracture</t>
  </si>
  <si>
    <t>Dr Mehta</t>
  </si>
  <si>
    <t>Government</t>
  </si>
  <si>
    <t>P1003</t>
  </si>
  <si>
    <t>Rohan Kumar</t>
  </si>
  <si>
    <t>General Medicine</t>
  </si>
  <si>
    <t>Diabetes</t>
  </si>
  <si>
    <t>Dr Singh</t>
  </si>
  <si>
    <t>P1004</t>
  </si>
  <si>
    <t>Ananya Reddy</t>
  </si>
  <si>
    <t>Chest Pain</t>
  </si>
  <si>
    <t>Self Pay</t>
  </si>
  <si>
    <t>Pending</t>
  </si>
  <si>
    <t>P1005</t>
  </si>
  <si>
    <t>Vikram Singh</t>
  </si>
  <si>
    <t>Neurology</t>
  </si>
  <si>
    <t>Migraine</t>
  </si>
  <si>
    <t>Dr Khan</t>
  </si>
  <si>
    <t>P1006</t>
  </si>
  <si>
    <t>Meera Nair</t>
  </si>
  <si>
    <t>Asthma</t>
  </si>
  <si>
    <t>P1007</t>
  </si>
  <si>
    <t>Arjun Verma</t>
  </si>
  <si>
    <t>Heart Disease</t>
  </si>
  <si>
    <t>P1008</t>
  </si>
  <si>
    <t>Sneha Iyer</t>
  </si>
  <si>
    <t>Dermatology</t>
  </si>
  <si>
    <t>Skin Allergy</t>
  </si>
  <si>
    <t>Dr Thomas</t>
  </si>
  <si>
    <t>P1009</t>
  </si>
  <si>
    <t>Karan Shah</t>
  </si>
  <si>
    <t>Arthritis</t>
  </si>
  <si>
    <t>P1010</t>
  </si>
  <si>
    <t>Priya Das</t>
  </si>
  <si>
    <t>Fever</t>
  </si>
  <si>
    <t>P1011</t>
  </si>
  <si>
    <t>Aditya Rao</t>
  </si>
  <si>
    <t>P1012</t>
  </si>
  <si>
    <t>Kavya Menon</t>
  </si>
  <si>
    <t>Seizure Disorder</t>
  </si>
  <si>
    <t>P1013</t>
  </si>
  <si>
    <t>Raj Malhotra</t>
  </si>
  <si>
    <t>Back Pain</t>
  </si>
  <si>
    <t>P1014</t>
  </si>
  <si>
    <t>Ishita Gupta</t>
  </si>
  <si>
    <t>Psoriasis</t>
  </si>
  <si>
    <t>P1015</t>
  </si>
  <si>
    <t>Manish Yadav</t>
  </si>
  <si>
    <t>P1016</t>
  </si>
  <si>
    <t>Neha Joshi</t>
  </si>
  <si>
    <t>P1017</t>
  </si>
  <si>
    <t>Rahul Bose</t>
  </si>
  <si>
    <t>P1018</t>
  </si>
  <si>
    <t>Simran Kaur</t>
  </si>
  <si>
    <t>P1019</t>
  </si>
  <si>
    <t>Varun Kapoor</t>
  </si>
  <si>
    <t>P1020</t>
  </si>
  <si>
    <t>Pooja Agarwal</t>
  </si>
  <si>
    <t>P1021</t>
  </si>
  <si>
    <t>Harsh Jain</t>
  </si>
  <si>
    <t>P1022</t>
  </si>
  <si>
    <t>Nandini Rao</t>
  </si>
  <si>
    <t>P1023</t>
  </si>
  <si>
    <t>Siddharth Roy</t>
  </si>
  <si>
    <t>P1024</t>
  </si>
  <si>
    <t>Shreya Kapoor</t>
  </si>
  <si>
    <t>P1025</t>
  </si>
  <si>
    <t>Abhishek Das</t>
  </si>
  <si>
    <t>P1026</t>
  </si>
  <si>
    <t>Anjali Shah</t>
  </si>
  <si>
    <t>P1027</t>
  </si>
  <si>
    <t>Mohit Verma</t>
  </si>
  <si>
    <t>P1028</t>
  </si>
  <si>
    <t>Riya Menon</t>
  </si>
  <si>
    <t>P1029</t>
  </si>
  <si>
    <t>Deepak Nair</t>
  </si>
  <si>
    <t>P1030</t>
  </si>
  <si>
    <t>Anu Reddy</t>
  </si>
  <si>
    <t>P1031</t>
  </si>
  <si>
    <t>Sameer Khan</t>
  </si>
  <si>
    <t>P1032</t>
  </si>
  <si>
    <t>Divya Iyer</t>
  </si>
  <si>
    <t>P1033</t>
  </si>
  <si>
    <t>Akash Gupta</t>
  </si>
  <si>
    <t>P1034</t>
  </si>
  <si>
    <t>Lakshmi Rao</t>
  </si>
  <si>
    <t>P1035</t>
  </si>
  <si>
    <t>Nikhil Sharma</t>
  </si>
  <si>
    <t>P1036</t>
  </si>
  <si>
    <t>Swati Patel</t>
  </si>
  <si>
    <t>P1037</t>
  </si>
  <si>
    <t>Varun Reddy</t>
  </si>
  <si>
    <t>P1038</t>
  </si>
  <si>
    <t>Rekha Menon</t>
  </si>
  <si>
    <t>P1039</t>
  </si>
  <si>
    <t>Arvind Joshi</t>
  </si>
  <si>
    <t>P1040</t>
  </si>
  <si>
    <t>Sonali Shah</t>
  </si>
  <si>
    <t>Find total hospital billing.</t>
  </si>
  <si>
    <t>Find total billing for Cardialogy department.</t>
  </si>
  <si>
    <t>Count patients in Dermatology department.</t>
  </si>
  <si>
    <t>Find average bill by Neurology department.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</si>
  <si>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</si>
  <si>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</si>
  <si>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</si>
  <si>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</si>
  <si>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</si>
  <si>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</si>
  <si>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</si>
  <si>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</si>
  <si>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</si>
  <si>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</si>
  <si>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</si>
  <si>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</si>
  <si>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</si>
  <si>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</si>
  <si>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amount of Cardiology patients with Pending payments</t>
  </si>
  <si>
    <t>Average bill for Cardiology + Government Insurance</t>
  </si>
  <si>
    <t>Number of Cardiology patients with Pending payments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</si>
  <si>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</si>
  <si>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</si>
  <si>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</si>
  <si>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</si>
  <si>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</si>
  <si>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</si>
  <si>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</si>
  <si>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If Age is 60 or above:Senior Citizen</t>
  </si>
  <si>
    <t>Otherwise:Non-Senior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</si>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</sst>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topLeftCell="A28" zoomScale="170" zoomScaleNormal="170" workbookViewId="0">
      <selection activeCell="H55" sqref="H55"/>
    </sheetView>
  </sheetViews>
  <sheetFormatPr defaultRowHeight="14.45"/>
  <cols>
    <col min="1" max="1" width="10.140625" customWidth="1"/>
    <col min="2" max="2" width="16.28515625" customWidth="1"/>
    <col min="5" max="5" width="19.7109375" customWidth="1"/>
    <col min="6" max="6" width="15.85546875" customWidth="1"/>
    <col min="7" max="7" width="20.42578125" customWidth="1"/>
    <col min="8" max="8" width="23" customWidth="1"/>
    <col min="9" max="9" width="16.7109375" customWidth="1"/>
    <col min="10" max="10" width="19.5703125" customWidth="1"/>
    <col min="11" max="11" width="16.85546875" customWidth="1"/>
    <col min="12" max="12" width="18.42578125" customWidth="1"/>
    <col min="13" max="13" width="16.42578125" customWidth="1"/>
    <col min="14" max="14" width="15.42578125" customWidth="1"/>
    <col min="15" max="15" width="14.7109375" customWidth="1"/>
    <col min="16" max="17" width="21" customWidth="1"/>
    <col min="18" max="18" width="17.28515625" customWidth="1"/>
    <col min="19" max="19" width="19.7109375" customWidth="1"/>
    <col min="20" max="20" width="22.85546875" customWidth="1"/>
    <col min="21" max="21" width="17.5703125" customWidth="1"/>
    <col min="22" max="22" width="22" customWidth="1"/>
    <col min="23" max="23" width="23.85546875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0" t="s">
        <v>20</v>
      </c>
      <c r="V1" s="10" t="s">
        <v>21</v>
      </c>
      <c r="W1" s="10" t="s">
        <v>22</v>
      </c>
    </row>
    <row r="2" spans="1:23">
      <c r="A2" t="s">
        <v>23</v>
      </c>
      <c r="B2" t="s">
        <v>24</v>
      </c>
      <c r="C2">
        <v>34</v>
      </c>
      <c r="D2" t="s">
        <v>25</v>
      </c>
      <c r="E2" t="s">
        <v>26</v>
      </c>
      <c r="F2" t="s">
        <v>27</v>
      </c>
      <c r="G2" s="2">
        <v>46027</v>
      </c>
      <c r="H2" s="2">
        <v>46030</v>
      </c>
      <c r="I2" t="s">
        <v>28</v>
      </c>
      <c r="J2" t="s">
        <v>29</v>
      </c>
      <c r="K2">
        <v>18500</v>
      </c>
      <c r="L2" t="s">
        <v>30</v>
      </c>
      <c r="M2">
        <v>3</v>
      </c>
      <c r="N2" t="str">
        <f>IF(L1="Pending","Follow Up","No Action")</f>
        <v>No Action</v>
      </c>
      <c r="O2" t="str">
        <f>IF(K2&gt;40000,"High Bill","Normal Bill")</f>
        <v>Normal Bill</v>
      </c>
      <c r="P2" t="str">
        <f>IF(OR(C2=60,C2&gt;60),"Senoir Citizen","Non-Senior")</f>
        <v>Non-Senior</v>
      </c>
      <c r="Q2" t="str">
        <f>IF(AND(K2&gt;40000,M2&gt;5),"high billing case","normal Case")</f>
        <v>normal Case</v>
      </c>
      <c r="R2" t="str">
        <f>IF(AND(L2="Pending",K2&gt;30000),"urgent","normal")</f>
        <v>normal</v>
      </c>
      <c r="S2" t="str">
        <f>IF(OR(E2="Cardiology",E2="Neurology"),"Priority Department","Regular Department")</f>
        <v>Priority Department</v>
      </c>
      <c r="T2" t="str">
        <f>IF(NOT(L2="Pending"),"payment completed","payment pending")</f>
        <v>payment completed</v>
      </c>
      <c r="U2" t="str" cm="1">
        <f t="array" ref="U2">_xlfn.IFS(K2&gt;=50000,"Very High",K2&gt;=30000,"High",K2&gt;=15000,"Medium",K2&lt;15000,"Low")</f>
        <v>Medium</v>
      </c>
      <c r="V2" t="str">
        <f>IF(AND(Patient_Data!L2="Pending",Patient_Data!K2&gt;40000),"High Financial Risk","Normal Risk")</f>
        <v>Normal Risk</v>
      </c>
      <c r="W2" t="str">
        <f>IF(AND(OR(E2="Cardiology",E2="Orthopetics"),K2&gt;30000),"MR","No Review")</f>
        <v>No Review</v>
      </c>
    </row>
    <row r="3" spans="1:23">
      <c r="A3" t="s">
        <v>31</v>
      </c>
      <c r="B3" t="s">
        <v>32</v>
      </c>
      <c r="C3">
        <v>52</v>
      </c>
      <c r="D3" t="s">
        <v>33</v>
      </c>
      <c r="E3" t="s">
        <v>34</v>
      </c>
      <c r="F3" t="s">
        <v>35</v>
      </c>
      <c r="G3" s="2">
        <v>46029</v>
      </c>
      <c r="H3" s="2">
        <v>46037</v>
      </c>
      <c r="I3" t="s">
        <v>36</v>
      </c>
      <c r="J3" t="s">
        <v>37</v>
      </c>
      <c r="K3">
        <v>42000</v>
      </c>
      <c r="L3" t="s">
        <v>30</v>
      </c>
      <c r="M3">
        <v>8</v>
      </c>
      <c r="N3" t="str">
        <f t="shared" ref="N3:N41" si="0">IF(L2="Pending","Follow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IF(OR(C3=60,C3&gt;60),"Senoir Citizen","Non-Senior")</f>
        <v>Non-Senior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IF(AND(L3="Pending",K3&gt;30000),"urgent","normal")</f>
        <v>normal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 cm="1">
        <f t="array" ref="U3">_xlfn.IFS(K3&gt;=50000,"Very High",K3&gt;=30000,"High",K3&gt;=15000,"Medium",K3&lt;15000,"Low")</f>
        <v>High</v>
      </c>
      <c r="V3" t="str">
        <f>IF(AND(Patient_Data!L3="Pending",Patient_Data!K3&gt;40000),"High Financial Risk","Normal Risk")</f>
        <v>Normal Risk</v>
      </c>
      <c r="W3" t="str">
        <f>IF(AND(OR(E3="Cardiology",E3="Orthopetics"),K3&gt;30000),"MR","No Review")</f>
        <v>No Review</v>
      </c>
    </row>
    <row r="4" spans="1:23">
      <c r="A4" t="s">
        <v>38</v>
      </c>
      <c r="B4" t="s">
        <v>39</v>
      </c>
      <c r="C4">
        <v>28</v>
      </c>
      <c r="D4" t="s">
        <v>25</v>
      </c>
      <c r="E4" t="s">
        <v>40</v>
      </c>
      <c r="F4" t="s">
        <v>41</v>
      </c>
      <c r="G4" s="2">
        <v>46032</v>
      </c>
      <c r="H4" s="2">
        <v>46035</v>
      </c>
      <c r="I4" t="s">
        <v>42</v>
      </c>
      <c r="J4" t="s">
        <v>29</v>
      </c>
      <c r="K4">
        <v>12000</v>
      </c>
      <c r="L4" t="s">
        <v>30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Non-Senior</v>
      </c>
      <c r="Q4" t="str">
        <f t="shared" si="3"/>
        <v>normal Case</v>
      </c>
      <c r="R4" t="str">
        <f t="shared" si="4"/>
        <v>normal</v>
      </c>
      <c r="S4" t="str">
        <f t="shared" si="5"/>
        <v>Regular Department</v>
      </c>
      <c r="T4" t="str">
        <f t="shared" si="6"/>
        <v>payment completed</v>
      </c>
      <c r="U4" t="str" cm="1">
        <f t="array" ref="U4">_xlfn.IFS(K4&gt;=50000,"Very High",K4&gt;=30000,"High",K4&gt;=15000,"Medium",K4&lt;15000,"Low")</f>
        <v>Low</v>
      </c>
      <c r="V4" t="str">
        <f>IF(AND(Patient_Data!L4="Pending",Patient_Data!K4&gt;40000),"High Financial Risk","Normal Risk")</f>
        <v>Normal Risk</v>
      </c>
      <c r="W4" t="str">
        <f t="shared" ref="W4:W41" si="7">IF(AND(OR(E4="Cardiology",E4="Orthopetics"),K4&gt;30000),"MR","No Review")</f>
        <v>No Review</v>
      </c>
    </row>
    <row r="5" spans="1:23">
      <c r="A5" t="s">
        <v>43</v>
      </c>
      <c r="B5" t="s">
        <v>44</v>
      </c>
      <c r="C5">
        <v>45</v>
      </c>
      <c r="D5" t="s">
        <v>33</v>
      </c>
      <c r="E5" t="s">
        <v>26</v>
      </c>
      <c r="F5" t="s">
        <v>45</v>
      </c>
      <c r="G5" s="2">
        <v>46034</v>
      </c>
      <c r="H5" s="2">
        <v>46039</v>
      </c>
      <c r="I5" t="s">
        <v>28</v>
      </c>
      <c r="J5" t="s">
        <v>46</v>
      </c>
      <c r="K5">
        <v>27500</v>
      </c>
      <c r="L5" t="s">
        <v>47</v>
      </c>
      <c r="M5">
        <v>5</v>
      </c>
      <c r="N5" t="str">
        <f t="shared" si="0"/>
        <v>No Action</v>
      </c>
      <c r="O5" t="str">
        <f t="shared" si="1"/>
        <v>Normal Bill</v>
      </c>
      <c r="P5" t="str">
        <f t="shared" si="2"/>
        <v>Non-Senior</v>
      </c>
      <c r="Q5" t="str">
        <f t="shared" si="3"/>
        <v>normal Case</v>
      </c>
      <c r="R5" t="str">
        <f t="shared" si="4"/>
        <v>normal</v>
      </c>
      <c r="S5" t="str">
        <f t="shared" si="5"/>
        <v>Priority Department</v>
      </c>
      <c r="T5" t="str">
        <f t="shared" si="6"/>
        <v>payment pending</v>
      </c>
      <c r="U5" t="str" cm="1">
        <f t="array" ref="U5">_xlfn.IFS(K5&gt;=50000,"Very High",K5&gt;=30000,"High",K5&gt;=15000,"Medium",K5&lt;15000,"Low")</f>
        <v>Medium</v>
      </c>
      <c r="V5" t="str">
        <f>IF(AND(Patient_Data!L5="Pending",Patient_Data!K5&gt;40000),"High Financial Risk","Normal Risk")</f>
        <v>Normal Risk</v>
      </c>
      <c r="W5" t="str">
        <f t="shared" si="7"/>
        <v>No Review</v>
      </c>
    </row>
    <row r="6" spans="1:23">
      <c r="A6" t="s">
        <v>48</v>
      </c>
      <c r="B6" t="s">
        <v>49</v>
      </c>
      <c r="C6">
        <v>67</v>
      </c>
      <c r="D6" t="s">
        <v>25</v>
      </c>
      <c r="E6" t="s">
        <v>50</v>
      </c>
      <c r="F6" t="s">
        <v>51</v>
      </c>
      <c r="G6" s="2">
        <v>46037</v>
      </c>
      <c r="H6" s="2">
        <v>46040</v>
      </c>
      <c r="I6" t="s">
        <v>52</v>
      </c>
      <c r="J6" t="s">
        <v>37</v>
      </c>
      <c r="K6">
        <v>16000</v>
      </c>
      <c r="L6" t="s">
        <v>30</v>
      </c>
      <c r="M6">
        <v>3</v>
      </c>
      <c r="N6" t="str">
        <f t="shared" si="0"/>
        <v>Follow Up</v>
      </c>
      <c r="O6" t="str">
        <f t="shared" si="1"/>
        <v>Normal Bill</v>
      </c>
      <c r="P6" t="str">
        <f t="shared" si="2"/>
        <v>Senoir Citizen</v>
      </c>
      <c r="Q6" t="str">
        <f t="shared" si="3"/>
        <v>normal Case</v>
      </c>
      <c r="R6" t="str">
        <f t="shared" si="4"/>
        <v>normal</v>
      </c>
      <c r="S6" t="str">
        <f t="shared" si="5"/>
        <v>Priority Department</v>
      </c>
      <c r="T6" t="str">
        <f t="shared" si="6"/>
        <v>payment completed</v>
      </c>
      <c r="U6" t="str" cm="1">
        <f t="array" ref="U6">_xlfn.IFS(K6&gt;=50000,"Very High",K6&gt;=30000,"High",K6&gt;=15000,"Medium",K6&lt;15000,"Low")</f>
        <v>Medium</v>
      </c>
      <c r="V6" t="str">
        <f>IF(AND(Patient_Data!L6="Pending",Patient_Data!K6&gt;40000),"High Financial Risk","Normal Risk")</f>
        <v>Normal Risk</v>
      </c>
      <c r="W6" t="str">
        <f t="shared" si="7"/>
        <v>No Review</v>
      </c>
    </row>
    <row r="7" spans="1:23">
      <c r="A7" t="s">
        <v>53</v>
      </c>
      <c r="B7" t="s">
        <v>54</v>
      </c>
      <c r="C7">
        <v>39</v>
      </c>
      <c r="D7" t="s">
        <v>33</v>
      </c>
      <c r="E7" t="s">
        <v>40</v>
      </c>
      <c r="F7" t="s">
        <v>55</v>
      </c>
      <c r="G7" s="2">
        <v>46040</v>
      </c>
      <c r="H7" s="2">
        <v>46042</v>
      </c>
      <c r="I7" t="s">
        <v>42</v>
      </c>
      <c r="J7" t="s">
        <v>29</v>
      </c>
      <c r="K7">
        <v>9500</v>
      </c>
      <c r="L7" t="s">
        <v>30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Non-Senior</v>
      </c>
      <c r="Q7" t="str">
        <f t="shared" si="3"/>
        <v>normal Case</v>
      </c>
      <c r="R7" t="str">
        <f t="shared" si="4"/>
        <v>normal</v>
      </c>
      <c r="S7" t="str">
        <f t="shared" si="5"/>
        <v>Regular Department</v>
      </c>
      <c r="T7" t="str">
        <f t="shared" si="6"/>
        <v>payment completed</v>
      </c>
      <c r="U7" t="str" cm="1">
        <f t="array" ref="U7">_xlfn.IFS(K7&gt;=50000,"Very High",K7&gt;=30000,"High",K7&gt;=15000,"Medium",K7&lt;15000,"Low")</f>
        <v>Low</v>
      </c>
      <c r="V7" t="str">
        <f>IF(AND(Patient_Data!L7="Pending",Patient_Data!K7&gt;40000),"High Financial Risk","Normal Risk")</f>
        <v>Normal Risk</v>
      </c>
      <c r="W7" t="str">
        <f t="shared" si="7"/>
        <v>No Review</v>
      </c>
    </row>
    <row r="8" spans="1:23">
      <c r="A8" t="s">
        <v>56</v>
      </c>
      <c r="B8" t="s">
        <v>57</v>
      </c>
      <c r="C8">
        <v>73</v>
      </c>
      <c r="D8" t="s">
        <v>25</v>
      </c>
      <c r="E8" t="s">
        <v>26</v>
      </c>
      <c r="F8" t="s">
        <v>58</v>
      </c>
      <c r="G8" s="2">
        <v>46042</v>
      </c>
      <c r="H8" s="2">
        <v>46051</v>
      </c>
      <c r="I8" t="s">
        <v>28</v>
      </c>
      <c r="J8" t="s">
        <v>37</v>
      </c>
      <c r="K8">
        <v>68000</v>
      </c>
      <c r="L8" t="s">
        <v>47</v>
      </c>
      <c r="M8">
        <v>9</v>
      </c>
      <c r="N8" t="str">
        <f t="shared" si="0"/>
        <v>No Action</v>
      </c>
      <c r="O8" t="str">
        <f t="shared" si="1"/>
        <v>High Bill</v>
      </c>
      <c r="P8" t="str">
        <f t="shared" si="2"/>
        <v>Senoir Citizen</v>
      </c>
      <c r="Q8" t="str">
        <f t="shared" si="3"/>
        <v>high billing case</v>
      </c>
      <c r="R8" t="str">
        <f t="shared" si="4"/>
        <v>urgent</v>
      </c>
      <c r="S8" t="str">
        <f t="shared" si="5"/>
        <v>Priority Department</v>
      </c>
      <c r="T8" t="str">
        <f t="shared" si="6"/>
        <v>payment pending</v>
      </c>
      <c r="U8" t="str" cm="1">
        <f t="array" ref="U8">_xlfn.IFS(K8&gt;=50000,"Very High",K8&gt;=30000,"High",K8&gt;=15000,"Medium",K8&lt;15000,"Low")</f>
        <v>Very High</v>
      </c>
      <c r="V8" t="str">
        <f>IF(AND(Patient_Data!L8="Pending",Patient_Data!K8&gt;40000),"High Financial Risk","Normal Risk")</f>
        <v>High Financial Risk</v>
      </c>
      <c r="W8" t="str">
        <f t="shared" si="7"/>
        <v>MR</v>
      </c>
    </row>
    <row r="9" spans="1:23">
      <c r="A9" t="s">
        <v>59</v>
      </c>
      <c r="B9" t="s">
        <v>60</v>
      </c>
      <c r="C9">
        <v>31</v>
      </c>
      <c r="D9" t="s">
        <v>33</v>
      </c>
      <c r="E9" t="s">
        <v>61</v>
      </c>
      <c r="F9" t="s">
        <v>62</v>
      </c>
      <c r="G9" s="2">
        <v>46044</v>
      </c>
      <c r="H9" s="2">
        <v>46046</v>
      </c>
      <c r="I9" t="s">
        <v>63</v>
      </c>
      <c r="J9" t="s">
        <v>46</v>
      </c>
      <c r="K9">
        <v>7500</v>
      </c>
      <c r="L9" t="s">
        <v>30</v>
      </c>
      <c r="M9">
        <v>2</v>
      </c>
      <c r="N9" t="str">
        <f t="shared" si="0"/>
        <v>Follow Up</v>
      </c>
      <c r="O9" t="str">
        <f t="shared" si="1"/>
        <v>Normal Bill</v>
      </c>
      <c r="P9" t="str">
        <f t="shared" si="2"/>
        <v>Non-Senior</v>
      </c>
      <c r="Q9" t="str">
        <f t="shared" si="3"/>
        <v>normal Case</v>
      </c>
      <c r="R9" t="str">
        <f t="shared" si="4"/>
        <v>normal</v>
      </c>
      <c r="S9" t="str">
        <f t="shared" si="5"/>
        <v>Regular Department</v>
      </c>
      <c r="T9" t="str">
        <f t="shared" si="6"/>
        <v>payment completed</v>
      </c>
      <c r="U9" t="str" cm="1">
        <f t="array" ref="U9">_xlfn.IFS(K9&gt;=50000,"Very High",K9&gt;=30000,"High",K9&gt;=15000,"Medium",K9&lt;15000,"Low")</f>
        <v>Low</v>
      </c>
      <c r="V9" t="str">
        <f>IF(AND(Patient_Data!L9="Pending",Patient_Data!K9&gt;40000),"High Financial Risk","Normal Risk")</f>
        <v>Normal Risk</v>
      </c>
      <c r="W9" t="str">
        <f t="shared" si="7"/>
        <v>No Review</v>
      </c>
    </row>
    <row r="10" spans="1:23">
      <c r="A10" t="s">
        <v>64</v>
      </c>
      <c r="B10" t="s">
        <v>65</v>
      </c>
      <c r="C10">
        <v>56</v>
      </c>
      <c r="D10" t="s">
        <v>25</v>
      </c>
      <c r="E10" t="s">
        <v>34</v>
      </c>
      <c r="F10" t="s">
        <v>66</v>
      </c>
      <c r="G10" s="2">
        <v>46047</v>
      </c>
      <c r="H10" s="2">
        <v>46052</v>
      </c>
      <c r="I10" t="s">
        <v>36</v>
      </c>
      <c r="J10" t="s">
        <v>29</v>
      </c>
      <c r="K10">
        <v>24000</v>
      </c>
      <c r="L10" t="s">
        <v>30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Non-Senior</v>
      </c>
      <c r="Q10" t="str">
        <f t="shared" si="3"/>
        <v>normal Case</v>
      </c>
      <c r="R10" t="str">
        <f t="shared" si="4"/>
        <v>normal</v>
      </c>
      <c r="S10" t="str">
        <f t="shared" si="5"/>
        <v>Regular Department</v>
      </c>
      <c r="T10" t="str">
        <f t="shared" si="6"/>
        <v>payment completed</v>
      </c>
      <c r="U10" t="str" cm="1">
        <f t="array" ref="U10">_xlfn.IFS(K10&gt;=50000,"Very High",K10&gt;=30000,"High",K10&gt;=15000,"Medium",K10&lt;15000,"Low")</f>
        <v>Medium</v>
      </c>
      <c r="V10" t="str">
        <f>IF(AND(Patient_Data!L10="Pending",Patient_Data!K10&gt;40000),"High Financial Risk","Normal Risk")</f>
        <v>Normal Risk</v>
      </c>
      <c r="W10" t="str">
        <f t="shared" si="7"/>
        <v>No Review</v>
      </c>
    </row>
    <row r="11" spans="1:23">
      <c r="A11" t="s">
        <v>67</v>
      </c>
      <c r="B11" t="s">
        <v>68</v>
      </c>
      <c r="C11">
        <v>24</v>
      </c>
      <c r="D11" t="s">
        <v>33</v>
      </c>
      <c r="E11" t="s">
        <v>40</v>
      </c>
      <c r="F11" t="s">
        <v>69</v>
      </c>
      <c r="G11" s="2">
        <v>46050</v>
      </c>
      <c r="H11" s="2">
        <v>46052</v>
      </c>
      <c r="I11" t="s">
        <v>42</v>
      </c>
      <c r="J11" t="s">
        <v>46</v>
      </c>
      <c r="K11">
        <v>6500</v>
      </c>
      <c r="L11" t="s">
        <v>30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Non-Senior</v>
      </c>
      <c r="Q11" t="str">
        <f t="shared" si="3"/>
        <v>normal Case</v>
      </c>
      <c r="R11" t="str">
        <f t="shared" si="4"/>
        <v>normal</v>
      </c>
      <c r="S11" t="str">
        <f t="shared" si="5"/>
        <v>Regular Department</v>
      </c>
      <c r="T11" t="str">
        <f t="shared" si="6"/>
        <v>payment completed</v>
      </c>
      <c r="U11" t="str" cm="1">
        <f t="array" ref="U11">_xlfn.IFS(K11&gt;=50000,"Very High",K11&gt;=30000,"High",K11&gt;=15000,"Medium",K11&lt;15000,"Low")</f>
        <v>Low</v>
      </c>
      <c r="V11" t="str">
        <f>IF(AND(Patient_Data!L11="Pending",Patient_Data!K11&gt;40000),"High Financial Risk","Normal Risk")</f>
        <v>Normal Risk</v>
      </c>
      <c r="W11" t="str">
        <f t="shared" si="7"/>
        <v>No Review</v>
      </c>
    </row>
    <row r="12" spans="1:23">
      <c r="A12" t="s">
        <v>70</v>
      </c>
      <c r="B12" t="s">
        <v>71</v>
      </c>
      <c r="C12">
        <v>61</v>
      </c>
      <c r="D12" t="s">
        <v>25</v>
      </c>
      <c r="E12" t="s">
        <v>26</v>
      </c>
      <c r="F12" t="s">
        <v>27</v>
      </c>
      <c r="G12" s="2">
        <v>46055</v>
      </c>
      <c r="H12" s="2">
        <v>46059</v>
      </c>
      <c r="I12" t="s">
        <v>28</v>
      </c>
      <c r="J12" t="s">
        <v>29</v>
      </c>
      <c r="K12">
        <v>22000</v>
      </c>
      <c r="L12" t="s">
        <v>30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Senoir Citizen</v>
      </c>
      <c r="Q12" t="str">
        <f t="shared" si="3"/>
        <v>normal Case</v>
      </c>
      <c r="R12" t="str">
        <f t="shared" si="4"/>
        <v>normal</v>
      </c>
      <c r="S12" t="str">
        <f t="shared" si="5"/>
        <v>Priority Department</v>
      </c>
      <c r="T12" t="str">
        <f t="shared" si="6"/>
        <v>payment completed</v>
      </c>
      <c r="U12" t="str" cm="1">
        <f t="array" ref="U12">_xlfn.IFS(K12&gt;=50000,"Very High",K12&gt;=30000,"High",K12&gt;=15000,"Medium",K12&lt;15000,"Low")</f>
        <v>Medium</v>
      </c>
      <c r="V12" t="str">
        <f>IF(AND(Patient_Data!L12="Pending",Patient_Data!K12&gt;40000),"High Financial Risk","Normal Risk")</f>
        <v>Normal Risk</v>
      </c>
      <c r="W12" t="str">
        <f t="shared" si="7"/>
        <v>No Review</v>
      </c>
    </row>
    <row r="13" spans="1:23">
      <c r="A13" t="s">
        <v>72</v>
      </c>
      <c r="B13" t="s">
        <v>73</v>
      </c>
      <c r="C13">
        <v>48</v>
      </c>
      <c r="D13" t="s">
        <v>33</v>
      </c>
      <c r="E13" t="s">
        <v>50</v>
      </c>
      <c r="F13" t="s">
        <v>74</v>
      </c>
      <c r="G13" s="2">
        <v>46057</v>
      </c>
      <c r="H13" s="2">
        <v>46064</v>
      </c>
      <c r="I13" t="s">
        <v>52</v>
      </c>
      <c r="J13" t="s">
        <v>37</v>
      </c>
      <c r="K13">
        <v>39000</v>
      </c>
      <c r="L13" t="s">
        <v>47</v>
      </c>
      <c r="M13">
        <v>7</v>
      </c>
      <c r="N13" t="str">
        <f t="shared" si="0"/>
        <v>No Action</v>
      </c>
      <c r="O13" t="str">
        <f t="shared" si="1"/>
        <v>Normal Bill</v>
      </c>
      <c r="P13" t="str">
        <f t="shared" si="2"/>
        <v>Non-Senior</v>
      </c>
      <c r="Q13" t="str">
        <f t="shared" si="3"/>
        <v>normal Case</v>
      </c>
      <c r="R13" t="str">
        <f t="shared" si="4"/>
        <v>urgent</v>
      </c>
      <c r="S13" t="str">
        <f t="shared" si="5"/>
        <v>Priority Department</v>
      </c>
      <c r="T13" t="str">
        <f t="shared" si="6"/>
        <v>payment pending</v>
      </c>
      <c r="U13" t="str" cm="1">
        <f t="array" ref="U13">_xlfn.IFS(K13&gt;=50000,"Very High",K13&gt;=30000,"High",K13&gt;=15000,"Medium",K13&lt;15000,"Low")</f>
        <v>High</v>
      </c>
      <c r="V13" t="str">
        <f>IF(AND(Patient_Data!L13="Pending",Patient_Data!K13&gt;40000),"High Financial Risk","Normal Risk")</f>
        <v>Normal Risk</v>
      </c>
      <c r="W13" t="str">
        <f t="shared" si="7"/>
        <v>No Review</v>
      </c>
    </row>
    <row r="14" spans="1:23">
      <c r="A14" t="s">
        <v>75</v>
      </c>
      <c r="B14" t="s">
        <v>76</v>
      </c>
      <c r="C14">
        <v>36</v>
      </c>
      <c r="D14" t="s">
        <v>25</v>
      </c>
      <c r="E14" t="s">
        <v>34</v>
      </c>
      <c r="F14" t="s">
        <v>77</v>
      </c>
      <c r="G14" s="2">
        <v>46059</v>
      </c>
      <c r="H14" s="2">
        <v>46062</v>
      </c>
      <c r="I14" t="s">
        <v>36</v>
      </c>
      <c r="J14" t="s">
        <v>46</v>
      </c>
      <c r="K14">
        <v>14500</v>
      </c>
      <c r="L14" t="s">
        <v>30</v>
      </c>
      <c r="M14">
        <v>3</v>
      </c>
      <c r="N14" t="str">
        <f t="shared" si="0"/>
        <v>Follow Up</v>
      </c>
      <c r="O14" t="str">
        <f t="shared" si="1"/>
        <v>Normal Bill</v>
      </c>
      <c r="P14" t="str">
        <f t="shared" si="2"/>
        <v>Non-Senior</v>
      </c>
      <c r="Q14" t="str">
        <f t="shared" si="3"/>
        <v>normal Case</v>
      </c>
      <c r="R14" t="str">
        <f t="shared" si="4"/>
        <v>normal</v>
      </c>
      <c r="S14" t="str">
        <f t="shared" si="5"/>
        <v>Regular Department</v>
      </c>
      <c r="T14" t="str">
        <f t="shared" si="6"/>
        <v>payment completed</v>
      </c>
      <c r="U14" t="str" cm="1">
        <f t="array" ref="U14">_xlfn.IFS(K14&gt;=50000,"Very High",K14&gt;=30000,"High",K14&gt;=15000,"Medium",K14&lt;15000,"Low")</f>
        <v>Low</v>
      </c>
      <c r="V14" t="str">
        <f>IF(AND(Patient_Data!L14="Pending",Patient_Data!K14&gt;40000),"High Financial Risk","Normal Risk")</f>
        <v>Normal Risk</v>
      </c>
      <c r="W14" t="str">
        <f t="shared" si="7"/>
        <v>No Review</v>
      </c>
    </row>
    <row r="15" spans="1:23">
      <c r="A15" t="s">
        <v>78</v>
      </c>
      <c r="B15" t="s">
        <v>79</v>
      </c>
      <c r="C15">
        <v>42</v>
      </c>
      <c r="D15" t="s">
        <v>33</v>
      </c>
      <c r="E15" t="s">
        <v>61</v>
      </c>
      <c r="F15" t="s">
        <v>80</v>
      </c>
      <c r="G15" s="2">
        <v>46061</v>
      </c>
      <c r="H15" s="2">
        <v>46065</v>
      </c>
      <c r="I15" t="s">
        <v>63</v>
      </c>
      <c r="J15" t="s">
        <v>29</v>
      </c>
      <c r="K15">
        <v>18000</v>
      </c>
      <c r="L15" t="s">
        <v>30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Non-Senior</v>
      </c>
      <c r="Q15" t="str">
        <f t="shared" si="3"/>
        <v>normal Case</v>
      </c>
      <c r="R15" t="str">
        <f t="shared" si="4"/>
        <v>normal</v>
      </c>
      <c r="S15" t="str">
        <f t="shared" si="5"/>
        <v>Regular Department</v>
      </c>
      <c r="T15" t="str">
        <f t="shared" si="6"/>
        <v>payment completed</v>
      </c>
      <c r="U15" t="str" cm="1">
        <f t="array" ref="U15">_xlfn.IFS(K15&gt;=50000,"Very High",K15&gt;=30000,"High",K15&gt;=15000,"Medium",K15&lt;15000,"Low")</f>
        <v>Medium</v>
      </c>
      <c r="V15" t="str">
        <f>IF(AND(Patient_Data!L15="Pending",Patient_Data!K15&gt;40000),"High Financial Risk","Normal Risk")</f>
        <v>Normal Risk</v>
      </c>
      <c r="W15" t="str">
        <f t="shared" si="7"/>
        <v>No Review</v>
      </c>
    </row>
    <row r="16" spans="1:23">
      <c r="A16" t="s">
        <v>81</v>
      </c>
      <c r="B16" t="s">
        <v>82</v>
      </c>
      <c r="C16">
        <v>69</v>
      </c>
      <c r="D16" t="s">
        <v>25</v>
      </c>
      <c r="E16" t="s">
        <v>26</v>
      </c>
      <c r="F16" t="s">
        <v>58</v>
      </c>
      <c r="G16" s="2">
        <v>46063</v>
      </c>
      <c r="H16" s="2">
        <v>46073</v>
      </c>
      <c r="I16" t="s">
        <v>28</v>
      </c>
      <c r="J16" t="s">
        <v>37</v>
      </c>
      <c r="K16">
        <v>72000</v>
      </c>
      <c r="L16" t="s">
        <v>47</v>
      </c>
      <c r="M16">
        <v>10</v>
      </c>
      <c r="N16" t="str">
        <f t="shared" si="0"/>
        <v>No Action</v>
      </c>
      <c r="O16" t="str">
        <f t="shared" si="1"/>
        <v>High Bill</v>
      </c>
      <c r="P16" t="str">
        <f t="shared" si="2"/>
        <v>Senoir Citizen</v>
      </c>
      <c r="Q16" t="str">
        <f t="shared" si="3"/>
        <v>high billing case</v>
      </c>
      <c r="R16" t="str">
        <f t="shared" si="4"/>
        <v>urgent</v>
      </c>
      <c r="S16" t="str">
        <f t="shared" si="5"/>
        <v>Priority Department</v>
      </c>
      <c r="T16" t="str">
        <f t="shared" si="6"/>
        <v>payment pending</v>
      </c>
      <c r="U16" t="str" cm="1">
        <f t="array" ref="U16">_xlfn.IFS(K16&gt;=50000,"Very High",K16&gt;=30000,"High",K16&gt;=15000,"Medium",K16&lt;15000,"Low")</f>
        <v>Very High</v>
      </c>
      <c r="V16" t="str">
        <f>IF(AND(Patient_Data!L16="Pending",Patient_Data!K16&gt;40000),"High Financial Risk","Normal Risk")</f>
        <v>High Financial Risk</v>
      </c>
      <c r="W16" t="str">
        <f t="shared" si="7"/>
        <v>MR</v>
      </c>
    </row>
    <row r="17" spans="1:23">
      <c r="A17" t="s">
        <v>83</v>
      </c>
      <c r="B17" t="s">
        <v>84</v>
      </c>
      <c r="C17">
        <v>29</v>
      </c>
      <c r="D17" t="s">
        <v>33</v>
      </c>
      <c r="E17" t="s">
        <v>40</v>
      </c>
      <c r="F17" t="s">
        <v>41</v>
      </c>
      <c r="G17" s="2">
        <v>46065</v>
      </c>
      <c r="H17" s="2">
        <v>46068</v>
      </c>
      <c r="I17" t="s">
        <v>42</v>
      </c>
      <c r="J17" t="s">
        <v>46</v>
      </c>
      <c r="K17">
        <v>10500</v>
      </c>
      <c r="L17" t="s">
        <v>30</v>
      </c>
      <c r="M17">
        <v>3</v>
      </c>
      <c r="N17" t="str">
        <f t="shared" si="0"/>
        <v>Follow Up</v>
      </c>
      <c r="O17" t="str">
        <f t="shared" si="1"/>
        <v>Normal Bill</v>
      </c>
      <c r="P17" t="str">
        <f t="shared" si="2"/>
        <v>Non-Senior</v>
      </c>
      <c r="Q17" t="str">
        <f t="shared" si="3"/>
        <v>normal Case</v>
      </c>
      <c r="R17" t="str">
        <f t="shared" si="4"/>
        <v>normal</v>
      </c>
      <c r="S17" t="str">
        <f t="shared" si="5"/>
        <v>Regular Department</v>
      </c>
      <c r="T17" t="str">
        <f t="shared" si="6"/>
        <v>payment completed</v>
      </c>
      <c r="U17" t="str" cm="1">
        <f t="array" ref="U17">_xlfn.IFS(K17&gt;=50000,"Very High",K17&gt;=30000,"High",K17&gt;=15000,"Medium",K17&lt;15000,"Low")</f>
        <v>Low</v>
      </c>
      <c r="V17" t="str">
        <f>IF(AND(Patient_Data!L17="Pending",Patient_Data!K17&gt;40000),"High Financial Risk","Normal Risk")</f>
        <v>Normal Risk</v>
      </c>
      <c r="W17" t="str">
        <f t="shared" si="7"/>
        <v>No Review</v>
      </c>
    </row>
    <row r="18" spans="1:23">
      <c r="A18" t="s">
        <v>85</v>
      </c>
      <c r="B18" t="s">
        <v>86</v>
      </c>
      <c r="C18">
        <v>58</v>
      </c>
      <c r="D18" t="s">
        <v>25</v>
      </c>
      <c r="E18" t="s">
        <v>50</v>
      </c>
      <c r="F18" t="s">
        <v>51</v>
      </c>
      <c r="G18" s="2">
        <v>46068</v>
      </c>
      <c r="H18" s="2">
        <v>46071</v>
      </c>
      <c r="I18" t="s">
        <v>52</v>
      </c>
      <c r="J18" t="s">
        <v>29</v>
      </c>
      <c r="K18">
        <v>17500</v>
      </c>
      <c r="L18" t="s">
        <v>30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Non-Senior</v>
      </c>
      <c r="Q18" t="str">
        <f t="shared" si="3"/>
        <v>normal Case</v>
      </c>
      <c r="R18" t="str">
        <f t="shared" si="4"/>
        <v>normal</v>
      </c>
      <c r="S18" t="str">
        <f t="shared" si="5"/>
        <v>Priority Department</v>
      </c>
      <c r="T18" t="str">
        <f t="shared" si="6"/>
        <v>payment completed</v>
      </c>
      <c r="U18" t="str" cm="1">
        <f t="array" ref="U18">_xlfn.IFS(K18&gt;=50000,"Very High",K18&gt;=30000,"High",K18&gt;=15000,"Medium",K18&lt;15000,"Low")</f>
        <v>Medium</v>
      </c>
      <c r="V18" t="str">
        <f>IF(AND(Patient_Data!L18="Pending",Patient_Data!K18&gt;40000),"High Financial Risk","Normal Risk")</f>
        <v>Normal Risk</v>
      </c>
      <c r="W18" t="str">
        <f t="shared" si="7"/>
        <v>No Review</v>
      </c>
    </row>
    <row r="19" spans="1:23">
      <c r="A19" t="s">
        <v>87</v>
      </c>
      <c r="B19" t="s">
        <v>88</v>
      </c>
      <c r="C19">
        <v>33</v>
      </c>
      <c r="D19" t="s">
        <v>33</v>
      </c>
      <c r="E19" t="s">
        <v>34</v>
      </c>
      <c r="F19" t="s">
        <v>35</v>
      </c>
      <c r="G19" s="2">
        <v>46070</v>
      </c>
      <c r="H19" s="2">
        <v>46078</v>
      </c>
      <c r="I19" t="s">
        <v>36</v>
      </c>
      <c r="J19" t="s">
        <v>37</v>
      </c>
      <c r="K19">
        <v>45000</v>
      </c>
      <c r="L19" t="s">
        <v>30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Non-Senior</v>
      </c>
      <c r="Q19" t="str">
        <f t="shared" si="3"/>
        <v>high billing case</v>
      </c>
      <c r="R19" t="str">
        <f t="shared" si="4"/>
        <v>normal</v>
      </c>
      <c r="S19" t="str">
        <f t="shared" si="5"/>
        <v>Regular Department</v>
      </c>
      <c r="T19" t="str">
        <f t="shared" si="6"/>
        <v>payment completed</v>
      </c>
      <c r="U19" t="str" cm="1">
        <f t="array" ref="U19">_xlfn.IFS(K19&gt;=50000,"Very High",K19&gt;=30000,"High",K19&gt;=15000,"Medium",K19&lt;15000,"Low")</f>
        <v>High</v>
      </c>
      <c r="V19" t="str">
        <f>IF(AND(Patient_Data!L19="Pending",Patient_Data!K19&gt;40000),"High Financial Risk","Normal Risk")</f>
        <v>Normal Risk</v>
      </c>
      <c r="W19" t="str">
        <f t="shared" si="7"/>
        <v>No Review</v>
      </c>
    </row>
    <row r="20" spans="1:23">
      <c r="A20" t="s">
        <v>89</v>
      </c>
      <c r="B20" t="s">
        <v>90</v>
      </c>
      <c r="C20">
        <v>47</v>
      </c>
      <c r="D20" t="s">
        <v>25</v>
      </c>
      <c r="E20" t="s">
        <v>61</v>
      </c>
      <c r="F20" t="s">
        <v>62</v>
      </c>
      <c r="G20" s="2">
        <v>46073</v>
      </c>
      <c r="H20" s="2">
        <v>46075</v>
      </c>
      <c r="I20" t="s">
        <v>63</v>
      </c>
      <c r="J20" t="s">
        <v>46</v>
      </c>
      <c r="K20">
        <v>8000</v>
      </c>
      <c r="L20" t="s">
        <v>47</v>
      </c>
      <c r="M20">
        <v>2</v>
      </c>
      <c r="N20" t="str">
        <f t="shared" si="0"/>
        <v>No Action</v>
      </c>
      <c r="O20" t="str">
        <f t="shared" si="1"/>
        <v>Normal Bill</v>
      </c>
      <c r="P20" t="str">
        <f t="shared" si="2"/>
        <v>Non-Senior</v>
      </c>
      <c r="Q20" t="str">
        <f t="shared" si="3"/>
        <v>normal Case</v>
      </c>
      <c r="R20" t="str">
        <f t="shared" si="4"/>
        <v>normal</v>
      </c>
      <c r="S20" t="str">
        <f t="shared" si="5"/>
        <v>Regular Department</v>
      </c>
      <c r="T20" t="str">
        <f t="shared" si="6"/>
        <v>payment pending</v>
      </c>
      <c r="U20" t="str" cm="1">
        <f t="array" ref="U20">_xlfn.IFS(K20&gt;=50000,"Very High",K20&gt;=30000,"High",K20&gt;=15000,"Medium",K20&lt;15000,"Low")</f>
        <v>Low</v>
      </c>
      <c r="V20" t="str">
        <f>IF(AND(Patient_Data!L20="Pending",Patient_Data!K20&gt;40000),"High Financial Risk","Normal Risk")</f>
        <v>Normal Risk</v>
      </c>
      <c r="W20" t="str">
        <f t="shared" si="7"/>
        <v>No Review</v>
      </c>
    </row>
    <row r="21" spans="1:23">
      <c r="A21" t="s">
        <v>91</v>
      </c>
      <c r="B21" t="s">
        <v>92</v>
      </c>
      <c r="C21">
        <v>55</v>
      </c>
      <c r="D21" t="s">
        <v>33</v>
      </c>
      <c r="E21" t="s">
        <v>26</v>
      </c>
      <c r="F21" t="s">
        <v>45</v>
      </c>
      <c r="G21" s="2">
        <v>46075</v>
      </c>
      <c r="H21" s="2">
        <v>46080</v>
      </c>
      <c r="I21" t="s">
        <v>28</v>
      </c>
      <c r="J21" t="s">
        <v>29</v>
      </c>
      <c r="K21">
        <v>31000</v>
      </c>
      <c r="L21" t="s">
        <v>30</v>
      </c>
      <c r="M21">
        <v>5</v>
      </c>
      <c r="N21" t="str">
        <f t="shared" si="0"/>
        <v>Follow Up</v>
      </c>
      <c r="O21" t="str">
        <f t="shared" si="1"/>
        <v>Normal Bill</v>
      </c>
      <c r="P21" t="str">
        <f t="shared" si="2"/>
        <v>Non-Senior</v>
      </c>
      <c r="Q21" t="str">
        <f t="shared" si="3"/>
        <v>normal Case</v>
      </c>
      <c r="R21" t="str">
        <f t="shared" si="4"/>
        <v>normal</v>
      </c>
      <c r="S21" t="str">
        <f t="shared" si="5"/>
        <v>Priority Department</v>
      </c>
      <c r="T21" t="str">
        <f t="shared" si="6"/>
        <v>payment completed</v>
      </c>
      <c r="U21" t="str" cm="1">
        <f t="array" ref="U21">_xlfn.IFS(K21&gt;=50000,"Very High",K21&gt;=30000,"High",K21&gt;=15000,"Medium",K21&lt;15000,"Low")</f>
        <v>High</v>
      </c>
      <c r="V21" t="str">
        <f>IF(AND(Patient_Data!L21="Pending",Patient_Data!K21&gt;40000),"High Financial Risk","Normal Risk")</f>
        <v>Normal Risk</v>
      </c>
      <c r="W21" t="str">
        <f t="shared" si="7"/>
        <v>MR</v>
      </c>
    </row>
    <row r="22" spans="1:23">
      <c r="A22" t="s">
        <v>93</v>
      </c>
      <c r="B22" t="s">
        <v>94</v>
      </c>
      <c r="C22">
        <v>40</v>
      </c>
      <c r="D22" t="s">
        <v>25</v>
      </c>
      <c r="E22" t="s">
        <v>40</v>
      </c>
      <c r="F22" t="s">
        <v>55</v>
      </c>
      <c r="G22" s="2">
        <v>46082</v>
      </c>
      <c r="H22" s="2">
        <v>46085</v>
      </c>
      <c r="I22" t="s">
        <v>42</v>
      </c>
      <c r="J22" t="s">
        <v>37</v>
      </c>
      <c r="K22">
        <v>13000</v>
      </c>
      <c r="L22" t="s">
        <v>30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Non-Senior</v>
      </c>
      <c r="Q22" t="str">
        <f t="shared" si="3"/>
        <v>normal Case</v>
      </c>
      <c r="R22" t="str">
        <f t="shared" si="4"/>
        <v>normal</v>
      </c>
      <c r="S22" t="str">
        <f t="shared" si="5"/>
        <v>Regular Department</v>
      </c>
      <c r="T22" t="str">
        <f t="shared" si="6"/>
        <v>payment completed</v>
      </c>
      <c r="U22" t="str" cm="1">
        <f t="array" ref="U22">_xlfn.IFS(K22&gt;=50000,"Very High",K22&gt;=30000,"High",K22&gt;=15000,"Medium",K22&lt;15000,"Low")</f>
        <v>Low</v>
      </c>
      <c r="V22" t="str">
        <f>IF(AND(Patient_Data!L22="Pending",Patient_Data!K22&gt;40000),"High Financial Risk","Normal Risk")</f>
        <v>Normal Risk</v>
      </c>
      <c r="W22" t="str">
        <f t="shared" si="7"/>
        <v>No Review</v>
      </c>
    </row>
    <row r="23" spans="1:23">
      <c r="A23" t="s">
        <v>95</v>
      </c>
      <c r="B23" t="s">
        <v>96</v>
      </c>
      <c r="C23">
        <v>63</v>
      </c>
      <c r="D23" t="s">
        <v>33</v>
      </c>
      <c r="E23" t="s">
        <v>50</v>
      </c>
      <c r="F23" t="s">
        <v>74</v>
      </c>
      <c r="G23" s="2">
        <v>46084</v>
      </c>
      <c r="H23" s="2">
        <v>46093</v>
      </c>
      <c r="I23" t="s">
        <v>52</v>
      </c>
      <c r="J23" t="s">
        <v>29</v>
      </c>
      <c r="K23">
        <v>48000</v>
      </c>
      <c r="L23" t="s">
        <v>30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Senoir Citizen</v>
      </c>
      <c r="Q23" t="str">
        <f t="shared" si="3"/>
        <v>high billing case</v>
      </c>
      <c r="R23" t="str">
        <f t="shared" si="4"/>
        <v>normal</v>
      </c>
      <c r="S23" t="str">
        <f t="shared" si="5"/>
        <v>Priority Department</v>
      </c>
      <c r="T23" t="str">
        <f t="shared" si="6"/>
        <v>payment completed</v>
      </c>
      <c r="U23" t="str" cm="1">
        <f t="array" ref="U23">_xlfn.IFS(K23&gt;=50000,"Very High",K23&gt;=30000,"High",K23&gt;=15000,"Medium",K23&lt;15000,"Low")</f>
        <v>High</v>
      </c>
      <c r="V23" t="str">
        <f>IF(AND(Patient_Data!L23="Pending",Patient_Data!K23&gt;40000),"High Financial Risk","Normal Risk")</f>
        <v>Normal Risk</v>
      </c>
      <c r="W23" t="str">
        <f t="shared" si="7"/>
        <v>No Review</v>
      </c>
    </row>
    <row r="24" spans="1:23">
      <c r="A24" t="s">
        <v>97</v>
      </c>
      <c r="B24" t="s">
        <v>98</v>
      </c>
      <c r="C24">
        <v>27</v>
      </c>
      <c r="D24" t="s">
        <v>25</v>
      </c>
      <c r="E24" t="s">
        <v>34</v>
      </c>
      <c r="F24" t="s">
        <v>77</v>
      </c>
      <c r="G24" s="2">
        <v>46086</v>
      </c>
      <c r="H24" s="2">
        <v>46089</v>
      </c>
      <c r="I24" t="s">
        <v>36</v>
      </c>
      <c r="J24" t="s">
        <v>46</v>
      </c>
      <c r="K24">
        <v>12500</v>
      </c>
      <c r="L24" t="s">
        <v>30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Non-Senior</v>
      </c>
      <c r="Q24" t="str">
        <f t="shared" si="3"/>
        <v>normal Case</v>
      </c>
      <c r="R24" t="str">
        <f t="shared" si="4"/>
        <v>normal</v>
      </c>
      <c r="S24" t="str">
        <f t="shared" si="5"/>
        <v>Regular Department</v>
      </c>
      <c r="T24" t="str">
        <f t="shared" si="6"/>
        <v>payment completed</v>
      </c>
      <c r="U24" t="str" cm="1">
        <f t="array" ref="U24">_xlfn.IFS(K24&gt;=50000,"Very High",K24&gt;=30000,"High",K24&gt;=15000,"Medium",K24&lt;15000,"Low")</f>
        <v>Low</v>
      </c>
      <c r="V24" t="str">
        <f>IF(AND(Patient_Data!L24="Pending",Patient_Data!K24&gt;40000),"High Financial Risk","Normal Risk")</f>
        <v>Normal Risk</v>
      </c>
      <c r="W24" t="str">
        <f t="shared" si="7"/>
        <v>No Review</v>
      </c>
    </row>
    <row r="25" spans="1:23">
      <c r="A25" t="s">
        <v>99</v>
      </c>
      <c r="B25" t="s">
        <v>100</v>
      </c>
      <c r="C25">
        <v>51</v>
      </c>
      <c r="D25" t="s">
        <v>33</v>
      </c>
      <c r="E25" t="s">
        <v>61</v>
      </c>
      <c r="F25" t="s">
        <v>80</v>
      </c>
      <c r="G25" s="2">
        <v>46088</v>
      </c>
      <c r="H25" s="2">
        <v>46091</v>
      </c>
      <c r="I25" t="s">
        <v>63</v>
      </c>
      <c r="J25" t="s">
        <v>37</v>
      </c>
      <c r="K25">
        <v>15500</v>
      </c>
      <c r="L25" t="s">
        <v>47</v>
      </c>
      <c r="M25">
        <v>3</v>
      </c>
      <c r="N25" t="str">
        <f t="shared" si="0"/>
        <v>No Action</v>
      </c>
      <c r="O25" t="str">
        <f t="shared" si="1"/>
        <v>Normal Bill</v>
      </c>
      <c r="P25" t="str">
        <f t="shared" si="2"/>
        <v>Non-Senior</v>
      </c>
      <c r="Q25" t="str">
        <f t="shared" si="3"/>
        <v>normal Case</v>
      </c>
      <c r="R25" t="str">
        <f t="shared" si="4"/>
        <v>normal</v>
      </c>
      <c r="S25" t="str">
        <f t="shared" si="5"/>
        <v>Regular Department</v>
      </c>
      <c r="T25" t="str">
        <f t="shared" si="6"/>
        <v>payment pending</v>
      </c>
      <c r="U25" t="str" cm="1">
        <f t="array" ref="U25">_xlfn.IFS(K25&gt;=50000,"Very High",K25&gt;=30000,"High",K25&gt;=15000,"Medium",K25&lt;15000,"Low")</f>
        <v>Medium</v>
      </c>
      <c r="V25" t="str">
        <f>IF(AND(Patient_Data!L25="Pending",Patient_Data!K25&gt;40000),"High Financial Risk","Normal Risk")</f>
        <v>Normal Risk</v>
      </c>
      <c r="W25" t="str">
        <f t="shared" si="7"/>
        <v>No Review</v>
      </c>
    </row>
    <row r="26" spans="1:23">
      <c r="A26" t="s">
        <v>101</v>
      </c>
      <c r="B26" t="s">
        <v>102</v>
      </c>
      <c r="C26">
        <v>70</v>
      </c>
      <c r="D26" t="s">
        <v>25</v>
      </c>
      <c r="E26" t="s">
        <v>26</v>
      </c>
      <c r="F26" t="s">
        <v>58</v>
      </c>
      <c r="G26" s="2">
        <v>46091</v>
      </c>
      <c r="H26" s="2">
        <v>46102</v>
      </c>
      <c r="I26" t="s">
        <v>28</v>
      </c>
      <c r="J26" t="s">
        <v>37</v>
      </c>
      <c r="K26">
        <v>76000</v>
      </c>
      <c r="L26" t="s">
        <v>30</v>
      </c>
      <c r="M26">
        <v>11</v>
      </c>
      <c r="N26" t="str">
        <f t="shared" si="0"/>
        <v>Follow Up</v>
      </c>
      <c r="O26" t="str">
        <f t="shared" si="1"/>
        <v>High Bill</v>
      </c>
      <c r="P26" t="str">
        <f t="shared" si="2"/>
        <v>Senoir Citizen</v>
      </c>
      <c r="Q26" t="str">
        <f t="shared" si="3"/>
        <v>high billing case</v>
      </c>
      <c r="R26" t="str">
        <f t="shared" si="4"/>
        <v>normal</v>
      </c>
      <c r="S26" t="str">
        <f t="shared" si="5"/>
        <v>Priority Department</v>
      </c>
      <c r="T26" t="str">
        <f t="shared" si="6"/>
        <v>payment completed</v>
      </c>
      <c r="U26" t="str" cm="1">
        <f t="array" ref="U26">_xlfn.IFS(K26&gt;=50000,"Very High",K26&gt;=30000,"High",K26&gt;=15000,"Medium",K26&lt;15000,"Low")</f>
        <v>Very High</v>
      </c>
      <c r="V26" t="str">
        <f>IF(AND(Patient_Data!L26="Pending",Patient_Data!K26&gt;40000),"High Financial Risk","Normal Risk")</f>
        <v>Normal Risk</v>
      </c>
      <c r="W26" t="str">
        <f t="shared" si="7"/>
        <v>MR</v>
      </c>
    </row>
    <row r="27" spans="1:23">
      <c r="A27" t="s">
        <v>103</v>
      </c>
      <c r="B27" t="s">
        <v>104</v>
      </c>
      <c r="C27">
        <v>37</v>
      </c>
      <c r="D27" t="s">
        <v>33</v>
      </c>
      <c r="E27" t="s">
        <v>40</v>
      </c>
      <c r="F27" t="s">
        <v>69</v>
      </c>
      <c r="G27" s="2">
        <v>46093</v>
      </c>
      <c r="H27" s="2">
        <v>46095</v>
      </c>
      <c r="I27" t="s">
        <v>42</v>
      </c>
      <c r="J27" t="s">
        <v>46</v>
      </c>
      <c r="K27">
        <v>6200</v>
      </c>
      <c r="L27" t="s">
        <v>30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Non-Senior</v>
      </c>
      <c r="Q27" t="str">
        <f t="shared" si="3"/>
        <v>normal Case</v>
      </c>
      <c r="R27" t="str">
        <f t="shared" si="4"/>
        <v>normal</v>
      </c>
      <c r="S27" t="str">
        <f t="shared" si="5"/>
        <v>Regular Department</v>
      </c>
      <c r="T27" t="str">
        <f t="shared" si="6"/>
        <v>payment completed</v>
      </c>
      <c r="U27" t="str" cm="1">
        <f t="array" ref="U27">_xlfn.IFS(K27&gt;=50000,"Very High",K27&gt;=30000,"High",K27&gt;=15000,"Medium",K27&lt;15000,"Low")</f>
        <v>Low</v>
      </c>
      <c r="V27" t="str">
        <f>IF(AND(Patient_Data!L27="Pending",Patient_Data!K27&gt;40000),"High Financial Risk","Normal Risk")</f>
        <v>Normal Risk</v>
      </c>
      <c r="W27" t="str">
        <f t="shared" si="7"/>
        <v>No Review</v>
      </c>
    </row>
    <row r="28" spans="1:23">
      <c r="A28" t="s">
        <v>105</v>
      </c>
      <c r="B28" t="s">
        <v>106</v>
      </c>
      <c r="C28">
        <v>44</v>
      </c>
      <c r="D28" t="s">
        <v>25</v>
      </c>
      <c r="E28" t="s">
        <v>34</v>
      </c>
      <c r="F28" t="s">
        <v>66</v>
      </c>
      <c r="G28" s="2">
        <v>46096</v>
      </c>
      <c r="H28" s="2">
        <v>46101</v>
      </c>
      <c r="I28" t="s">
        <v>36</v>
      </c>
      <c r="J28" t="s">
        <v>29</v>
      </c>
      <c r="K28">
        <v>26000</v>
      </c>
      <c r="L28" t="s">
        <v>47</v>
      </c>
      <c r="M28">
        <v>5</v>
      </c>
      <c r="N28" t="str">
        <f t="shared" si="0"/>
        <v>No Action</v>
      </c>
      <c r="O28" t="str">
        <f t="shared" si="1"/>
        <v>Normal Bill</v>
      </c>
      <c r="P28" t="str">
        <f t="shared" si="2"/>
        <v>Non-Senior</v>
      </c>
      <c r="Q28" t="str">
        <f t="shared" si="3"/>
        <v>normal Case</v>
      </c>
      <c r="R28" t="str">
        <f t="shared" si="4"/>
        <v>normal</v>
      </c>
      <c r="S28" t="str">
        <f t="shared" si="5"/>
        <v>Regular Department</v>
      </c>
      <c r="T28" t="str">
        <f t="shared" si="6"/>
        <v>payment pending</v>
      </c>
      <c r="U28" t="str" cm="1">
        <f t="array" ref="U28">_xlfn.IFS(K28&gt;=50000,"Very High",K28&gt;=30000,"High",K28&gt;=15000,"Medium",K28&lt;15000,"Low")</f>
        <v>Medium</v>
      </c>
      <c r="V28" t="str">
        <f>IF(AND(Patient_Data!L28="Pending",Patient_Data!K28&gt;40000),"High Financial Risk","Normal Risk")</f>
        <v>Normal Risk</v>
      </c>
      <c r="W28" t="str">
        <f t="shared" si="7"/>
        <v>No Review</v>
      </c>
    </row>
    <row r="29" spans="1:23">
      <c r="A29" t="s">
        <v>107</v>
      </c>
      <c r="B29" t="s">
        <v>108</v>
      </c>
      <c r="C29">
        <v>30</v>
      </c>
      <c r="D29" t="s">
        <v>33</v>
      </c>
      <c r="E29" t="s">
        <v>50</v>
      </c>
      <c r="F29" t="s">
        <v>51</v>
      </c>
      <c r="G29" s="2">
        <v>46098</v>
      </c>
      <c r="H29" s="2">
        <v>46100</v>
      </c>
      <c r="I29" t="s">
        <v>52</v>
      </c>
      <c r="J29" t="s">
        <v>46</v>
      </c>
      <c r="K29">
        <v>9000</v>
      </c>
      <c r="L29" t="s">
        <v>30</v>
      </c>
      <c r="M29">
        <v>2</v>
      </c>
      <c r="N29" t="str">
        <f t="shared" si="0"/>
        <v>Follow Up</v>
      </c>
      <c r="O29" t="str">
        <f t="shared" si="1"/>
        <v>Normal Bill</v>
      </c>
      <c r="P29" t="str">
        <f t="shared" si="2"/>
        <v>Non-Senior</v>
      </c>
      <c r="Q29" t="str">
        <f t="shared" si="3"/>
        <v>normal Case</v>
      </c>
      <c r="R29" t="str">
        <f t="shared" si="4"/>
        <v>normal</v>
      </c>
      <c r="S29" t="str">
        <f t="shared" si="5"/>
        <v>Priority Department</v>
      </c>
      <c r="T29" t="str">
        <f t="shared" si="6"/>
        <v>payment completed</v>
      </c>
      <c r="U29" t="str" cm="1">
        <f t="array" ref="U29">_xlfn.IFS(K29&gt;=50000,"Very High",K29&gt;=30000,"High",K29&gt;=15000,"Medium",K29&lt;15000,"Low")</f>
        <v>Low</v>
      </c>
      <c r="V29" t="str">
        <f>IF(AND(Patient_Data!L29="Pending",Patient_Data!K29&gt;40000),"High Financial Risk","Normal Risk")</f>
        <v>Normal Risk</v>
      </c>
      <c r="W29" t="str">
        <f t="shared" si="7"/>
        <v>No Review</v>
      </c>
    </row>
    <row r="30" spans="1:23">
      <c r="A30" t="s">
        <v>109</v>
      </c>
      <c r="B30" t="s">
        <v>110</v>
      </c>
      <c r="C30">
        <v>59</v>
      </c>
      <c r="D30" t="s">
        <v>25</v>
      </c>
      <c r="E30" t="s">
        <v>61</v>
      </c>
      <c r="F30" t="s">
        <v>62</v>
      </c>
      <c r="G30" s="2">
        <v>46101</v>
      </c>
      <c r="H30" s="2">
        <v>46104</v>
      </c>
      <c r="I30" t="s">
        <v>63</v>
      </c>
      <c r="J30" t="s">
        <v>29</v>
      </c>
      <c r="K30">
        <v>11000</v>
      </c>
      <c r="L30" t="s">
        <v>30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Non-Senior</v>
      </c>
      <c r="Q30" t="str">
        <f t="shared" si="3"/>
        <v>normal Case</v>
      </c>
      <c r="R30" t="str">
        <f t="shared" si="4"/>
        <v>normal</v>
      </c>
      <c r="S30" t="str">
        <f t="shared" si="5"/>
        <v>Regular Department</v>
      </c>
      <c r="T30" t="str">
        <f t="shared" si="6"/>
        <v>payment completed</v>
      </c>
      <c r="U30" t="str" cm="1">
        <f t="array" ref="U30">_xlfn.IFS(K30&gt;=50000,"Very High",K30&gt;=30000,"High",K30&gt;=15000,"Medium",K30&lt;15000,"Low")</f>
        <v>Low</v>
      </c>
      <c r="V30" t="str">
        <f>IF(AND(Patient_Data!L30="Pending",Patient_Data!K30&gt;40000),"High Financial Risk","Normal Risk")</f>
        <v>Normal Risk</v>
      </c>
      <c r="W30" t="str">
        <f t="shared" si="7"/>
        <v>No Review</v>
      </c>
    </row>
    <row r="31" spans="1:23">
      <c r="A31" t="s">
        <v>111</v>
      </c>
      <c r="B31" t="s">
        <v>112</v>
      </c>
      <c r="C31">
        <v>46</v>
      </c>
      <c r="D31" t="s">
        <v>33</v>
      </c>
      <c r="E31" t="s">
        <v>26</v>
      </c>
      <c r="F31" t="s">
        <v>27</v>
      </c>
      <c r="G31" s="2">
        <v>46103</v>
      </c>
      <c r="H31" s="2">
        <v>46107</v>
      </c>
      <c r="I31" t="s">
        <v>28</v>
      </c>
      <c r="J31" t="s">
        <v>37</v>
      </c>
      <c r="K31">
        <v>24500</v>
      </c>
      <c r="L31" t="s">
        <v>30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Non-Senior</v>
      </c>
      <c r="Q31" t="str">
        <f t="shared" si="3"/>
        <v>normal Case</v>
      </c>
      <c r="R31" t="str">
        <f t="shared" si="4"/>
        <v>normal</v>
      </c>
      <c r="S31" t="str">
        <f t="shared" si="5"/>
        <v>Priority Department</v>
      </c>
      <c r="T31" t="str">
        <f t="shared" si="6"/>
        <v>payment completed</v>
      </c>
      <c r="U31" t="str" cm="1">
        <f t="array" ref="U31">_xlfn.IFS(K31&gt;=50000,"Very High",K31&gt;=30000,"High",K31&gt;=15000,"Medium",K31&lt;15000,"Low")</f>
        <v>Medium</v>
      </c>
      <c r="V31" t="str">
        <f>IF(AND(Patient_Data!L31="Pending",Patient_Data!K31&gt;40000),"High Financial Risk","Normal Risk")</f>
        <v>Normal Risk</v>
      </c>
      <c r="W31" t="str">
        <f t="shared" si="7"/>
        <v>No Review</v>
      </c>
    </row>
    <row r="32" spans="1:23">
      <c r="A32" t="s">
        <v>113</v>
      </c>
      <c r="B32" t="s">
        <v>114</v>
      </c>
      <c r="C32">
        <v>35</v>
      </c>
      <c r="D32" t="s">
        <v>25</v>
      </c>
      <c r="E32" t="s">
        <v>40</v>
      </c>
      <c r="F32" t="s">
        <v>41</v>
      </c>
      <c r="G32" s="2">
        <v>46113</v>
      </c>
      <c r="H32" s="2">
        <v>46117</v>
      </c>
      <c r="I32" t="s">
        <v>42</v>
      </c>
      <c r="J32" t="s">
        <v>29</v>
      </c>
      <c r="K32">
        <v>14000</v>
      </c>
      <c r="L32" t="s">
        <v>30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Non-Senior</v>
      </c>
      <c r="Q32" t="str">
        <f t="shared" si="3"/>
        <v>normal Case</v>
      </c>
      <c r="R32" t="str">
        <f t="shared" si="4"/>
        <v>normal</v>
      </c>
      <c r="S32" t="str">
        <f t="shared" si="5"/>
        <v>Regular Department</v>
      </c>
      <c r="T32" t="str">
        <f t="shared" si="6"/>
        <v>payment completed</v>
      </c>
      <c r="U32" t="str" cm="1">
        <f t="array" ref="U32">_xlfn.IFS(K32&gt;=50000,"Very High",K32&gt;=30000,"High",K32&gt;=15000,"Medium",K32&lt;15000,"Low")</f>
        <v>Low</v>
      </c>
      <c r="V32" t="str">
        <f>IF(AND(Patient_Data!L32="Pending",Patient_Data!K32&gt;40000),"High Financial Risk","Normal Risk")</f>
        <v>Normal Risk</v>
      </c>
      <c r="W32" t="str">
        <f t="shared" si="7"/>
        <v>No Review</v>
      </c>
    </row>
    <row r="33" spans="1:23">
      <c r="A33" t="s">
        <v>115</v>
      </c>
      <c r="B33" t="s">
        <v>116</v>
      </c>
      <c r="C33">
        <v>62</v>
      </c>
      <c r="D33" t="s">
        <v>33</v>
      </c>
      <c r="E33" t="s">
        <v>50</v>
      </c>
      <c r="F33" t="s">
        <v>74</v>
      </c>
      <c r="G33" s="2">
        <v>46115</v>
      </c>
      <c r="H33" s="2">
        <v>46122</v>
      </c>
      <c r="I33" t="s">
        <v>52</v>
      </c>
      <c r="J33" t="s">
        <v>37</v>
      </c>
      <c r="K33">
        <v>41000</v>
      </c>
      <c r="L33" t="s">
        <v>47</v>
      </c>
      <c r="M33">
        <v>7</v>
      </c>
      <c r="N33" t="str">
        <f>IF(L32="Pending","Follow Up","No Action")</f>
        <v>No Action</v>
      </c>
      <c r="O33" t="str">
        <f t="shared" si="1"/>
        <v>High Bill</v>
      </c>
      <c r="P33" t="str">
        <f t="shared" si="2"/>
        <v>Senoir Citizen</v>
      </c>
      <c r="Q33" t="str">
        <f t="shared" si="3"/>
        <v>high billing case</v>
      </c>
      <c r="R33" t="str">
        <f t="shared" si="4"/>
        <v>urgent</v>
      </c>
      <c r="S33" t="str">
        <f t="shared" si="5"/>
        <v>Priority Department</v>
      </c>
      <c r="T33" t="str">
        <f t="shared" si="6"/>
        <v>payment pending</v>
      </c>
      <c r="U33" t="str" cm="1">
        <f t="array" ref="U33">_xlfn.IFS(K33&gt;=50000,"Very High",K33&gt;=30000,"High",K33&gt;=15000,"Medium",K33&lt;15000,"Low")</f>
        <v>High</v>
      </c>
      <c r="V33" t="str">
        <f>IF(AND(Patient_Data!L33="Pending",Patient_Data!K33&gt;40000),"High Financial Risk","Normal Risk")</f>
        <v>High Financial Risk</v>
      </c>
      <c r="W33" t="str">
        <f t="shared" si="7"/>
        <v>No Review</v>
      </c>
    </row>
    <row r="34" spans="1:23">
      <c r="A34" t="s">
        <v>117</v>
      </c>
      <c r="B34" t="s">
        <v>118</v>
      </c>
      <c r="C34">
        <v>49</v>
      </c>
      <c r="D34" t="s">
        <v>25</v>
      </c>
      <c r="E34" t="s">
        <v>34</v>
      </c>
      <c r="F34" t="s">
        <v>35</v>
      </c>
      <c r="G34" s="2">
        <v>46117</v>
      </c>
      <c r="H34" s="2">
        <v>46126</v>
      </c>
      <c r="I34" t="s">
        <v>36</v>
      </c>
      <c r="J34" t="s">
        <v>29</v>
      </c>
      <c r="K34">
        <v>47000</v>
      </c>
      <c r="L34" t="s">
        <v>30</v>
      </c>
      <c r="M34">
        <v>9</v>
      </c>
      <c r="N34" t="str">
        <f t="shared" si="0"/>
        <v>Follow Up</v>
      </c>
      <c r="O34" t="str">
        <f t="shared" si="1"/>
        <v>High Bill</v>
      </c>
      <c r="P34" t="str">
        <f t="shared" si="2"/>
        <v>Non-Senior</v>
      </c>
      <c r="Q34" t="str">
        <f t="shared" si="3"/>
        <v>high billing case</v>
      </c>
      <c r="R34" t="str">
        <f t="shared" si="4"/>
        <v>normal</v>
      </c>
      <c r="S34" t="str">
        <f t="shared" si="5"/>
        <v>Regular Department</v>
      </c>
      <c r="T34" t="str">
        <f t="shared" si="6"/>
        <v>payment completed</v>
      </c>
      <c r="U34" t="str" cm="1">
        <f t="array" ref="U34">_xlfn.IFS(K34&gt;=50000,"Very High",K34&gt;=30000,"High",K34&gt;=15000,"Medium",K34&lt;15000,"Low")</f>
        <v>High</v>
      </c>
      <c r="V34" t="str">
        <f>IF(AND(Patient_Data!L34="Pending",Patient_Data!K34&gt;40000),"High Financial Risk","Normal Risk")</f>
        <v>Normal Risk</v>
      </c>
      <c r="W34" t="str">
        <f t="shared" si="7"/>
        <v>No Review</v>
      </c>
    </row>
    <row r="35" spans="1:23">
      <c r="A35" t="s">
        <v>119</v>
      </c>
      <c r="B35" t="s">
        <v>120</v>
      </c>
      <c r="C35">
        <v>38</v>
      </c>
      <c r="D35" t="s">
        <v>33</v>
      </c>
      <c r="E35" t="s">
        <v>61</v>
      </c>
      <c r="F35" t="s">
        <v>80</v>
      </c>
      <c r="G35" s="2">
        <v>46119</v>
      </c>
      <c r="H35" s="2">
        <v>46123</v>
      </c>
      <c r="I35" t="s">
        <v>63</v>
      </c>
      <c r="J35" t="s">
        <v>46</v>
      </c>
      <c r="K35">
        <v>17000</v>
      </c>
      <c r="L35" t="s">
        <v>30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Non-Senior</v>
      </c>
      <c r="Q35" t="str">
        <f t="shared" si="3"/>
        <v>normal Case</v>
      </c>
      <c r="R35" t="str">
        <f t="shared" si="4"/>
        <v>normal</v>
      </c>
      <c r="S35" t="str">
        <f t="shared" si="5"/>
        <v>Regular Department</v>
      </c>
      <c r="T35" t="str">
        <f t="shared" si="6"/>
        <v>payment completed</v>
      </c>
      <c r="U35" t="str" cm="1">
        <f t="array" ref="U35">_xlfn.IFS(K35&gt;=50000,"Very High",K35&gt;=30000,"High",K35&gt;=15000,"Medium",K35&lt;15000,"Low")</f>
        <v>Medium</v>
      </c>
      <c r="V35" t="str">
        <f>IF(AND(Patient_Data!L35="Pending",Patient_Data!K35&gt;40000),"High Financial Risk","Normal Risk")</f>
        <v>Normal Risk</v>
      </c>
      <c r="W35" t="str">
        <f t="shared" si="7"/>
        <v>No Review</v>
      </c>
    </row>
    <row r="36" spans="1:23">
      <c r="A36" t="s">
        <v>121</v>
      </c>
      <c r="B36" t="s">
        <v>122</v>
      </c>
      <c r="C36">
        <v>66</v>
      </c>
      <c r="D36" t="s">
        <v>25</v>
      </c>
      <c r="E36" t="s">
        <v>26</v>
      </c>
      <c r="F36" t="s">
        <v>45</v>
      </c>
      <c r="G36" s="2">
        <v>46122</v>
      </c>
      <c r="H36" s="2">
        <v>46128</v>
      </c>
      <c r="I36" t="s">
        <v>28</v>
      </c>
      <c r="J36" t="s">
        <v>37</v>
      </c>
      <c r="K36">
        <v>35000</v>
      </c>
      <c r="L36" t="s">
        <v>47</v>
      </c>
      <c r="M36">
        <v>6</v>
      </c>
      <c r="N36" t="str">
        <f t="shared" si="0"/>
        <v>No Action</v>
      </c>
      <c r="O36" t="str">
        <f t="shared" si="1"/>
        <v>Normal Bill</v>
      </c>
      <c r="P36" t="str">
        <f t="shared" si="2"/>
        <v>Senoir Citizen</v>
      </c>
      <c r="Q36" t="str">
        <f t="shared" si="3"/>
        <v>normal Case</v>
      </c>
      <c r="R36" t="str">
        <f t="shared" si="4"/>
        <v>urgent</v>
      </c>
      <c r="S36" t="str">
        <f t="shared" si="5"/>
        <v>Priority Department</v>
      </c>
      <c r="T36" t="str">
        <f t="shared" si="6"/>
        <v>payment pending</v>
      </c>
      <c r="U36" t="str" cm="1">
        <f t="array" ref="U36">_xlfn.IFS(K36&gt;=50000,"Very High",K36&gt;=30000,"High",K36&gt;=15000,"Medium",K36&lt;15000,"Low")</f>
        <v>High</v>
      </c>
      <c r="V36" t="str">
        <f>IF(AND(Patient_Data!L36="Pending",Patient_Data!K36&gt;40000),"High Financial Risk","Normal Risk")</f>
        <v>Normal Risk</v>
      </c>
      <c r="W36" t="str">
        <f t="shared" si="7"/>
        <v>MR</v>
      </c>
    </row>
    <row r="37" spans="1:23">
      <c r="A37" t="s">
        <v>123</v>
      </c>
      <c r="B37" t="s">
        <v>124</v>
      </c>
      <c r="C37">
        <v>26</v>
      </c>
      <c r="D37" t="s">
        <v>33</v>
      </c>
      <c r="E37" t="s">
        <v>40</v>
      </c>
      <c r="F37" t="s">
        <v>69</v>
      </c>
      <c r="G37" s="2">
        <v>46124</v>
      </c>
      <c r="H37" s="2">
        <v>46126</v>
      </c>
      <c r="I37" t="s">
        <v>42</v>
      </c>
      <c r="J37" t="s">
        <v>46</v>
      </c>
      <c r="K37">
        <v>5800</v>
      </c>
      <c r="L37" t="s">
        <v>30</v>
      </c>
      <c r="M37">
        <v>2</v>
      </c>
      <c r="N37" t="str">
        <f t="shared" si="0"/>
        <v>Follow Up</v>
      </c>
      <c r="O37" t="str">
        <f t="shared" si="1"/>
        <v>Normal Bill</v>
      </c>
      <c r="P37" t="str">
        <f t="shared" si="2"/>
        <v>Non-Senior</v>
      </c>
      <c r="Q37" t="str">
        <f t="shared" si="3"/>
        <v>normal Case</v>
      </c>
      <c r="R37" t="str">
        <f t="shared" si="4"/>
        <v>normal</v>
      </c>
      <c r="S37" t="str">
        <f t="shared" si="5"/>
        <v>Regular Department</v>
      </c>
      <c r="T37" t="str">
        <f t="shared" si="6"/>
        <v>payment completed</v>
      </c>
      <c r="U37" t="str" cm="1">
        <f t="array" ref="U37">_xlfn.IFS(K37&gt;=50000,"Very High",K37&gt;=30000,"High",K37&gt;=15000,"Medium",K37&lt;15000,"Low")</f>
        <v>Low</v>
      </c>
      <c r="V37" t="str">
        <f>IF(AND(Patient_Data!L37="Pending",Patient_Data!K37&gt;40000),"High Financial Risk","Normal Risk")</f>
        <v>Normal Risk</v>
      </c>
      <c r="W37" t="str">
        <f t="shared" si="7"/>
        <v>No Review</v>
      </c>
    </row>
    <row r="38" spans="1:23">
      <c r="A38" t="s">
        <v>125</v>
      </c>
      <c r="B38" t="s">
        <v>126</v>
      </c>
      <c r="C38">
        <v>54</v>
      </c>
      <c r="D38" t="s">
        <v>25</v>
      </c>
      <c r="E38" t="s">
        <v>34</v>
      </c>
      <c r="F38" t="s">
        <v>77</v>
      </c>
      <c r="G38" s="2">
        <v>46127</v>
      </c>
      <c r="H38" s="2">
        <v>46131</v>
      </c>
      <c r="I38" t="s">
        <v>36</v>
      </c>
      <c r="J38" t="s">
        <v>29</v>
      </c>
      <c r="K38">
        <v>19000</v>
      </c>
      <c r="L38" t="s">
        <v>30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Non-Senior</v>
      </c>
      <c r="Q38" t="str">
        <f t="shared" si="3"/>
        <v>normal Case</v>
      </c>
      <c r="R38" t="str">
        <f t="shared" si="4"/>
        <v>normal</v>
      </c>
      <c r="S38" t="str">
        <f t="shared" si="5"/>
        <v>Regular Department</v>
      </c>
      <c r="T38" t="str">
        <f t="shared" si="6"/>
        <v>payment completed</v>
      </c>
      <c r="U38" t="str" cm="1">
        <f t="array" ref="U38">_xlfn.IFS(K38&gt;=50000,"Very High",K38&gt;=30000,"High",K38&gt;=15000,"Medium",K38&lt;15000,"Low")</f>
        <v>Medium</v>
      </c>
      <c r="V38" t="str">
        <f>IF(AND(Patient_Data!L38="Pending",Patient_Data!K38&gt;40000),"High Financial Risk","Normal Risk")</f>
        <v>Normal Risk</v>
      </c>
      <c r="W38" t="str">
        <f t="shared" si="7"/>
        <v>No Review</v>
      </c>
    </row>
    <row r="39" spans="1:23">
      <c r="A39" t="s">
        <v>127</v>
      </c>
      <c r="B39" t="s">
        <v>128</v>
      </c>
      <c r="C39">
        <v>43</v>
      </c>
      <c r="D39" t="s">
        <v>33</v>
      </c>
      <c r="E39" t="s">
        <v>50</v>
      </c>
      <c r="F39" t="s">
        <v>51</v>
      </c>
      <c r="G39" s="2">
        <v>46130</v>
      </c>
      <c r="H39" s="2">
        <v>46132</v>
      </c>
      <c r="I39" t="s">
        <v>52</v>
      </c>
      <c r="J39" t="s">
        <v>46</v>
      </c>
      <c r="K39">
        <v>8500</v>
      </c>
      <c r="L39" t="s">
        <v>30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Non-Senior</v>
      </c>
      <c r="Q39" t="str">
        <f t="shared" si="3"/>
        <v>normal Case</v>
      </c>
      <c r="R39" t="str">
        <f t="shared" si="4"/>
        <v>normal</v>
      </c>
      <c r="S39" t="str">
        <f t="shared" si="5"/>
        <v>Priority Department</v>
      </c>
      <c r="T39" t="str">
        <f t="shared" si="6"/>
        <v>payment completed</v>
      </c>
      <c r="U39" t="str" cm="1">
        <f t="array" ref="U39">_xlfn.IFS(K39&gt;=50000,"Very High",K39&gt;=30000,"High",K39&gt;=15000,"Medium",K39&lt;15000,"Low")</f>
        <v>Low</v>
      </c>
      <c r="V39" t="str">
        <f>IF(AND(Patient_Data!L39="Pending",Patient_Data!K39&gt;40000),"High Financial Risk","Normal Risk")</f>
        <v>Normal Risk</v>
      </c>
      <c r="W39" t="str">
        <f t="shared" si="7"/>
        <v>No Review</v>
      </c>
    </row>
    <row r="40" spans="1:23">
      <c r="A40" t="s">
        <v>129</v>
      </c>
      <c r="B40" t="s">
        <v>130</v>
      </c>
      <c r="C40">
        <v>71</v>
      </c>
      <c r="D40" t="s">
        <v>25</v>
      </c>
      <c r="E40" t="s">
        <v>61</v>
      </c>
      <c r="F40" t="s">
        <v>62</v>
      </c>
      <c r="G40" s="2">
        <v>46132</v>
      </c>
      <c r="H40" s="2">
        <v>46136</v>
      </c>
      <c r="I40" t="s">
        <v>63</v>
      </c>
      <c r="J40" t="s">
        <v>37</v>
      </c>
      <c r="K40">
        <v>12500</v>
      </c>
      <c r="L40" t="s">
        <v>47</v>
      </c>
      <c r="M40">
        <v>4</v>
      </c>
      <c r="N40" t="str">
        <f t="shared" si="0"/>
        <v>No Action</v>
      </c>
      <c r="O40" t="str">
        <f t="shared" si="1"/>
        <v>Normal Bill</v>
      </c>
      <c r="P40" t="str">
        <f t="shared" si="2"/>
        <v>Senoir Citizen</v>
      </c>
      <c r="Q40" t="str">
        <f t="shared" si="3"/>
        <v>normal Case</v>
      </c>
      <c r="R40" t="str">
        <f t="shared" si="4"/>
        <v>normal</v>
      </c>
      <c r="S40" t="str">
        <f t="shared" si="5"/>
        <v>Regular Department</v>
      </c>
      <c r="T40" t="str">
        <f t="shared" si="6"/>
        <v>payment pending</v>
      </c>
      <c r="U40" t="str" cm="1">
        <f t="array" ref="U40">_xlfn.IFS(K40&gt;=50000,"Very High",K40&gt;=30000,"High",K40&gt;=15000,"Medium",K40&lt;15000,"Low")</f>
        <v>Low</v>
      </c>
      <c r="V40" t="str">
        <f>IF(AND(Patient_Data!L40="Pending",Patient_Data!K40&gt;40000),"High Financial Risk","Normal Risk")</f>
        <v>Normal Risk</v>
      </c>
      <c r="W40" t="str">
        <f t="shared" si="7"/>
        <v>No Review</v>
      </c>
    </row>
    <row r="41" spans="1:23">
      <c r="A41" t="s">
        <v>131</v>
      </c>
      <c r="B41" t="s">
        <v>132</v>
      </c>
      <c r="C41">
        <v>50</v>
      </c>
      <c r="D41" t="s">
        <v>33</v>
      </c>
      <c r="E41" t="s">
        <v>26</v>
      </c>
      <c r="F41" t="s">
        <v>58</v>
      </c>
      <c r="G41" s="2">
        <v>46134</v>
      </c>
      <c r="H41" s="2">
        <v>46144</v>
      </c>
      <c r="I41" t="s">
        <v>28</v>
      </c>
      <c r="J41" t="s">
        <v>29</v>
      </c>
      <c r="K41">
        <v>69000</v>
      </c>
      <c r="L41" t="s">
        <v>30</v>
      </c>
      <c r="M41">
        <v>10</v>
      </c>
      <c r="N41" t="str">
        <f t="shared" si="0"/>
        <v>Follow Up</v>
      </c>
      <c r="O41" t="str">
        <f t="shared" si="1"/>
        <v>High Bill</v>
      </c>
      <c r="P41" t="str">
        <f t="shared" si="2"/>
        <v>Non-Senior</v>
      </c>
      <c r="Q41" t="str">
        <f t="shared" si="3"/>
        <v>high billing case</v>
      </c>
      <c r="R41" t="str">
        <f t="shared" si="4"/>
        <v>normal</v>
      </c>
      <c r="S41" t="str">
        <f t="shared" si="5"/>
        <v>Priority Department</v>
      </c>
      <c r="T41" t="str">
        <f t="shared" si="6"/>
        <v>payment completed</v>
      </c>
      <c r="U41" t="str" cm="1">
        <f t="array" ref="U41">_xlfn.IFS(K41&gt;=50000,"Very High",K41&gt;=30000,"High",K41&gt;=15000,"Medium",K41&lt;15000,"Low")</f>
        <v>Very High</v>
      </c>
      <c r="V41" t="str">
        <f>IF(AND(Patient_Data!L41="Pending",Patient_Data!K41&gt;40000),"High Financial Risk","Normal Risk")</f>
        <v>Normal Risk</v>
      </c>
      <c r="W41" t="str">
        <f t="shared" si="7"/>
        <v>MR</v>
      </c>
    </row>
    <row r="47" spans="1:23">
      <c r="E47" t="s">
        <v>133</v>
      </c>
      <c r="H47">
        <f>SUM(K2:K41)</f>
        <v>1019500</v>
      </c>
    </row>
    <row r="48" spans="1:23">
      <c r="E48" t="s">
        <v>134</v>
      </c>
      <c r="H48">
        <f>SUMIF(E2:E41,E2,K2:K41)</f>
        <v>443500</v>
      </c>
    </row>
    <row r="49" spans="5:8">
      <c r="E49" t="s">
        <v>135</v>
      </c>
      <c r="H49">
        <f>COUNTIF(E2:E41,"Dermatology")</f>
        <v>7</v>
      </c>
    </row>
    <row r="50" spans="5:8">
      <c r="E50" t="s">
        <v>136</v>
      </c>
      <c r="H50">
        <f>AVERAGEIF(E2:E41,"Neurology",K2:K41)</f>
        <v>25571.428571428572</v>
      </c>
    </row>
    <row r="51" spans="5:8">
      <c r="E51" t="s">
        <v>137</v>
      </c>
      <c r="H51">
        <f>SUMIF(J2:J41,"Government",K2:K41)</f>
        <v>499500</v>
      </c>
    </row>
    <row r="52" spans="5:8">
      <c r="E52" t="s">
        <v>138</v>
      </c>
      <c r="H52">
        <f>COUNTIF(L2:L41,"Pending")</f>
        <v>10</v>
      </c>
    </row>
    <row r="53" spans="5:8">
      <c r="E53" t="s">
        <v>139</v>
      </c>
      <c r="H53">
        <f>SUMIF(L2:L41,"Pending",K2:K41)</f>
        <v>344500</v>
      </c>
    </row>
    <row r="54" spans="5:8">
      <c r="E54" t="s">
        <v>140</v>
      </c>
      <c r="H54">
        <f>SUMIFS(K2:K41,E2:E41,"Cardiology",J2:J41,"Government")</f>
        <v>275500</v>
      </c>
    </row>
    <row r="55" spans="5:8">
      <c r="E55" t="s">
        <v>141</v>
      </c>
      <c r="H55">
        <f>COUNTIFS(E2:E41,"Cardiology",L2:L41,"Pending")</f>
        <v>4</v>
      </c>
    </row>
    <row r="56" spans="5:8">
      <c r="E56" t="s">
        <v>142</v>
      </c>
      <c r="H56">
        <f>AVERAGEIF(J2:J41,"Private Insurance",K2:K41)</f>
        <v>25766.666666666668</v>
      </c>
    </row>
    <row r="57" spans="5:8">
      <c r="E57" t="s">
        <v>143</v>
      </c>
      <c r="H57">
        <f>COUNTIF(K2:K41,"&gt;40000")</f>
        <v>9</v>
      </c>
    </row>
    <row r="58" spans="5:8">
      <c r="E58" t="s">
        <v>144</v>
      </c>
      <c r="H58">
        <f>SUMIF(K2:K41,"&gt;40000")</f>
        <v>508000</v>
      </c>
    </row>
    <row r="59" spans="5:8">
      <c r="E59" t="s">
        <v>145</v>
      </c>
      <c r="H59">
        <f>COUNTIF(M2:M41,"&gt;5")</f>
        <v>11</v>
      </c>
    </row>
    <row r="60" spans="5:8">
      <c r="E60" t="s">
        <v>146</v>
      </c>
      <c r="H60">
        <f>SUMIF(M2:M41,"&gt;5",K2:K41)</f>
        <v>582000</v>
      </c>
    </row>
    <row r="61" spans="5:8">
      <c r="E61" t="s">
        <v>147</v>
      </c>
      <c r="H61">
        <f>SUMIFS(K2:K41,E2:E41,E16,M2:M41,"&gt;5")</f>
        <v>320000</v>
      </c>
    </row>
    <row r="62" spans="5:8">
      <c r="E62" t="s">
        <v>148</v>
      </c>
      <c r="H62">
        <f>AVERAGEIF(L2:L41,L40,M2:M41)</f>
        <v>5.8</v>
      </c>
    </row>
    <row r="63" spans="5:8">
      <c r="E63" t="s">
        <v>149</v>
      </c>
      <c r="H63">
        <f>_xlfn.MAXIFS(K2:K41,E2:E41,E21)</f>
        <v>76000</v>
      </c>
    </row>
    <row r="64" spans="5:8">
      <c r="E64" t="s">
        <v>150</v>
      </c>
      <c r="H64">
        <f>_xlfn.MINIFS(K2:K41,E2:E41,E34)</f>
        <v>12500</v>
      </c>
    </row>
    <row r="65" spans="5:8">
      <c r="E65" t="s">
        <v>151</v>
      </c>
      <c r="H65">
        <f>SUMIFS(K2:K41,L2:L41,L40)</f>
        <v>344500</v>
      </c>
    </row>
    <row r="66" spans="5:8">
      <c r="E66" t="s">
        <v>152</v>
      </c>
      <c r="H66">
        <f>AVERAGEIFS(K2:K41,E2:E41,E12,J2:J41,J16)</f>
        <v>55100</v>
      </c>
    </row>
    <row r="67" spans="5:8" ht="15">
      <c r="E67" s="15" t="s">
        <v>153</v>
      </c>
      <c r="H67">
        <f>COUNTIFS(E2:E41,E12,L2:L41,L16)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zoomScale="102" zoomScaleNormal="102" workbookViewId="0">
      <selection activeCell="B31" sqref="B31"/>
    </sheetView>
  </sheetViews>
  <sheetFormatPr defaultRowHeight="14.45"/>
  <cols>
    <col min="1" max="1" width="98.140625" customWidth="1"/>
    <col min="2" max="2" width="14" customWidth="1"/>
  </cols>
  <sheetData>
    <row r="1" spans="1:1">
      <c r="A1" s="10" t="s">
        <v>154</v>
      </c>
    </row>
    <row r="2" spans="1:1">
      <c r="A2" t="s">
        <v>155</v>
      </c>
    </row>
    <row r="3" spans="1:1">
      <c r="A3" t="s">
        <v>156</v>
      </c>
    </row>
    <row r="5" spans="1:1">
      <c r="A5" t="s">
        <v>157</v>
      </c>
    </row>
    <row r="6" spans="1:1">
      <c r="A6" s="11" t="s">
        <v>158</v>
      </c>
    </row>
    <row r="7" spans="1:1">
      <c r="A7" s="11" t="s">
        <v>159</v>
      </c>
    </row>
    <row r="9" spans="1:1">
      <c r="A9" t="s">
        <v>160</v>
      </c>
    </row>
    <row r="10" spans="1:1">
      <c r="A10" t="s">
        <v>161</v>
      </c>
    </row>
    <row r="11" spans="1:1">
      <c r="A11" t="s">
        <v>162</v>
      </c>
    </row>
    <row r="12" spans="1:1">
      <c r="A12" s="11"/>
    </row>
    <row r="13" spans="1:1">
      <c r="A13" t="s">
        <v>163</v>
      </c>
    </row>
    <row r="14" spans="1:1">
      <c r="A14" s="11" t="s">
        <v>164</v>
      </c>
    </row>
    <row r="15" spans="1:1">
      <c r="A15" s="12" t="s">
        <v>165</v>
      </c>
    </row>
    <row r="16" spans="1:1">
      <c r="A16" s="11" t="s">
        <v>166</v>
      </c>
    </row>
    <row r="18" spans="1:3">
      <c r="A18" t="s">
        <v>167</v>
      </c>
    </row>
    <row r="19" spans="1:3">
      <c r="A19" s="11" t="s">
        <v>168</v>
      </c>
    </row>
    <row r="20" spans="1:3">
      <c r="A20" s="11" t="s">
        <v>165</v>
      </c>
    </row>
    <row r="21" spans="1:3">
      <c r="A21" s="11" t="s">
        <v>169</v>
      </c>
    </row>
    <row r="23" spans="1:3">
      <c r="A23" t="s">
        <v>170</v>
      </c>
    </row>
    <row r="24" spans="1:3">
      <c r="A24" s="11" t="s">
        <v>171</v>
      </c>
    </row>
    <row r="25" spans="1:3">
      <c r="A25" s="11" t="s">
        <v>172</v>
      </c>
    </row>
    <row r="27" spans="1:3">
      <c r="A27" t="s">
        <v>173</v>
      </c>
    </row>
    <row r="28" spans="1:3">
      <c r="A28" t="s">
        <v>174</v>
      </c>
    </row>
    <row r="29" spans="1:3">
      <c r="A29" s="13"/>
    </row>
    <row r="30" spans="1:3">
      <c r="A30" t="s">
        <v>175</v>
      </c>
      <c r="B30" s="4" t="s">
        <v>176</v>
      </c>
      <c r="C30" s="5" t="s">
        <v>177</v>
      </c>
    </row>
    <row r="31" spans="1:3">
      <c r="B31" s="3" t="s">
        <v>178</v>
      </c>
      <c r="C31" s="6" t="s">
        <v>179</v>
      </c>
    </row>
    <row r="32" spans="1:3">
      <c r="B32" s="3" t="s">
        <v>180</v>
      </c>
      <c r="C32" s="6" t="s">
        <v>181</v>
      </c>
    </row>
    <row r="33" spans="1:3">
      <c r="A33" s="13"/>
      <c r="B33" s="3" t="s">
        <v>182</v>
      </c>
      <c r="C33" s="6" t="s">
        <v>183</v>
      </c>
    </row>
    <row r="34" spans="1:3">
      <c r="B34" s="3" t="s">
        <v>184</v>
      </c>
      <c r="C34" s="6" t="s">
        <v>185</v>
      </c>
    </row>
    <row r="37" spans="1:3">
      <c r="A37" t="s">
        <v>186</v>
      </c>
    </row>
    <row r="38" spans="1:3">
      <c r="A38" s="11" t="s">
        <v>187</v>
      </c>
    </row>
    <row r="39" spans="1:3">
      <c r="A39" s="11" t="s">
        <v>188</v>
      </c>
    </row>
    <row r="40" spans="1:3">
      <c r="A40" t="s">
        <v>189</v>
      </c>
    </row>
    <row r="42" spans="1:3">
      <c r="A42" t="s">
        <v>190</v>
      </c>
    </row>
    <row r="43" spans="1:3">
      <c r="A43" s="11"/>
    </row>
    <row r="44" spans="1:3">
      <c r="A44" s="11" t="s">
        <v>191</v>
      </c>
    </row>
    <row r="45" spans="1:3">
      <c r="A45" s="12" t="s">
        <v>192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5"/>
  <cols>
    <col min="2" max="2" width="23.5703125" customWidth="1"/>
    <col min="3" max="3" width="17.28515625" customWidth="1"/>
    <col min="4" max="4" width="21.140625" customWidth="1"/>
  </cols>
  <sheetData>
    <row r="1" spans="1:4">
      <c r="A1" s="4" t="s">
        <v>193</v>
      </c>
      <c r="B1" s="5" t="s">
        <v>194</v>
      </c>
      <c r="C1" s="5" t="s">
        <v>195</v>
      </c>
      <c r="D1" s="4" t="s">
        <v>196</v>
      </c>
    </row>
    <row r="2" spans="1:4">
      <c r="A2" s="3">
        <v>1</v>
      </c>
      <c r="B2" s="6" t="s">
        <v>197</v>
      </c>
      <c r="C2" s="7" t="s">
        <v>198</v>
      </c>
      <c r="D2" s="8">
        <v>1019500</v>
      </c>
    </row>
    <row r="3" spans="1:4">
      <c r="A3" s="3">
        <v>2</v>
      </c>
      <c r="B3" s="6" t="s">
        <v>199</v>
      </c>
      <c r="C3" s="7" t="s">
        <v>200</v>
      </c>
      <c r="D3" s="8">
        <v>443500</v>
      </c>
    </row>
    <row r="4" spans="1:4">
      <c r="A4" s="3">
        <v>2</v>
      </c>
      <c r="B4" s="6" t="s">
        <v>201</v>
      </c>
      <c r="C4" s="7" t="s">
        <v>200</v>
      </c>
      <c r="D4" s="8">
        <v>89500</v>
      </c>
    </row>
    <row r="5" spans="1:4">
      <c r="A5" s="3">
        <v>2</v>
      </c>
      <c r="B5" s="6" t="s">
        <v>202</v>
      </c>
      <c r="C5" s="7" t="s">
        <v>200</v>
      </c>
      <c r="D5" s="8">
        <v>77500</v>
      </c>
    </row>
    <row r="6" spans="1:4">
      <c r="A6" s="3">
        <v>2</v>
      </c>
      <c r="B6" s="6" t="s">
        <v>203</v>
      </c>
      <c r="C6" s="7" t="s">
        <v>200</v>
      </c>
      <c r="D6" s="8">
        <v>179000</v>
      </c>
    </row>
    <row r="7" spans="1:4">
      <c r="A7" s="3">
        <v>2</v>
      </c>
      <c r="B7" s="6" t="s">
        <v>204</v>
      </c>
      <c r="C7" s="7" t="s">
        <v>200</v>
      </c>
      <c r="D7" s="8">
        <v>230000</v>
      </c>
    </row>
    <row r="8" spans="1:4">
      <c r="A8" s="3">
        <v>3</v>
      </c>
      <c r="B8" s="6" t="s">
        <v>205</v>
      </c>
      <c r="C8" s="7" t="s">
        <v>206</v>
      </c>
      <c r="D8" s="4">
        <v>10</v>
      </c>
    </row>
    <row r="9" spans="1:4">
      <c r="A9" s="3">
        <v>3</v>
      </c>
      <c r="B9" s="6" t="s">
        <v>207</v>
      </c>
      <c r="C9" s="7" t="s">
        <v>206</v>
      </c>
      <c r="D9" s="4">
        <v>7</v>
      </c>
    </row>
    <row r="10" spans="1:4">
      <c r="A10" s="3">
        <v>3</v>
      </c>
      <c r="B10" s="6" t="s">
        <v>208</v>
      </c>
      <c r="C10" s="7" t="s">
        <v>206</v>
      </c>
      <c r="D10" s="4">
        <v>8</v>
      </c>
    </row>
    <row r="11" spans="1:4">
      <c r="A11" s="3">
        <v>3</v>
      </c>
      <c r="B11" s="6" t="s">
        <v>209</v>
      </c>
      <c r="C11" s="7" t="s">
        <v>206</v>
      </c>
      <c r="D11" s="4">
        <v>7</v>
      </c>
    </row>
    <row r="12" spans="1:4">
      <c r="A12" s="3">
        <v>3</v>
      </c>
      <c r="B12" s="6" t="s">
        <v>210</v>
      </c>
      <c r="C12" s="7" t="s">
        <v>206</v>
      </c>
      <c r="D12" s="4">
        <v>8</v>
      </c>
    </row>
    <row r="13" spans="1:4">
      <c r="A13" s="3">
        <v>4</v>
      </c>
      <c r="B13" s="6" t="s">
        <v>211</v>
      </c>
      <c r="C13" s="7" t="s">
        <v>212</v>
      </c>
      <c r="D13" s="8">
        <v>44350</v>
      </c>
    </row>
    <row r="14" spans="1:4">
      <c r="A14" s="3">
        <v>4</v>
      </c>
      <c r="B14" s="6" t="s">
        <v>213</v>
      </c>
      <c r="C14" s="7" t="s">
        <v>212</v>
      </c>
      <c r="D14" s="9">
        <v>12785.71</v>
      </c>
    </row>
    <row r="15" spans="1:4">
      <c r="A15" s="3">
        <v>4</v>
      </c>
      <c r="B15" s="6" t="s">
        <v>214</v>
      </c>
      <c r="C15" s="7" t="s">
        <v>212</v>
      </c>
      <c r="D15" s="9">
        <v>9687.5</v>
      </c>
    </row>
    <row r="16" spans="1:4">
      <c r="A16" s="3">
        <v>4</v>
      </c>
      <c r="B16" s="6" t="s">
        <v>215</v>
      </c>
      <c r="C16" s="7" t="s">
        <v>212</v>
      </c>
      <c r="D16" s="9">
        <v>25571.43</v>
      </c>
    </row>
    <row r="17" spans="1:4">
      <c r="A17" s="3">
        <v>4</v>
      </c>
      <c r="B17" s="6" t="s">
        <v>216</v>
      </c>
      <c r="C17" s="7" t="s">
        <v>212</v>
      </c>
      <c r="D17" s="8">
        <v>28750</v>
      </c>
    </row>
    <row r="18" spans="1:4">
      <c r="A18" s="3">
        <v>5</v>
      </c>
      <c r="B18" s="6" t="s">
        <v>217</v>
      </c>
      <c r="C18" s="7" t="s">
        <v>200</v>
      </c>
      <c r="D18" s="8">
        <v>499500</v>
      </c>
    </row>
    <row r="19" spans="1:4">
      <c r="A19" s="3">
        <v>6</v>
      </c>
      <c r="B19" s="6" t="s">
        <v>218</v>
      </c>
      <c r="C19" s="7" t="s">
        <v>206</v>
      </c>
      <c r="D19" s="4">
        <v>10</v>
      </c>
    </row>
    <row r="20" spans="1:4">
      <c r="A20" s="3">
        <v>7</v>
      </c>
      <c r="B20" s="6" t="s">
        <v>219</v>
      </c>
      <c r="C20" s="7" t="s">
        <v>200</v>
      </c>
      <c r="D20" s="8">
        <v>344500</v>
      </c>
    </row>
    <row r="21" spans="1:4">
      <c r="A21" s="3">
        <v>8</v>
      </c>
      <c r="B21" s="6" t="s">
        <v>220</v>
      </c>
      <c r="C21" s="7" t="s">
        <v>221</v>
      </c>
      <c r="D21" s="8">
        <v>275500</v>
      </c>
    </row>
    <row r="22" spans="1:4">
      <c r="A22" s="3">
        <v>9</v>
      </c>
      <c r="B22" s="6" t="s">
        <v>222</v>
      </c>
      <c r="C22" s="7" t="s">
        <v>223</v>
      </c>
      <c r="D22" s="4">
        <v>4</v>
      </c>
    </row>
    <row r="23" spans="1:4">
      <c r="A23" s="3">
        <v>10</v>
      </c>
      <c r="B23" s="6" t="s">
        <v>224</v>
      </c>
      <c r="C23" s="7" t="s">
        <v>212</v>
      </c>
      <c r="D23" s="9">
        <v>25766.67</v>
      </c>
    </row>
    <row r="24" spans="1:4">
      <c r="A24" s="3">
        <v>11</v>
      </c>
      <c r="B24" s="6" t="s">
        <v>225</v>
      </c>
      <c r="C24" s="7" t="s">
        <v>206</v>
      </c>
      <c r="D24" s="4">
        <v>9</v>
      </c>
    </row>
    <row r="25" spans="1:4">
      <c r="A25" s="3">
        <v>12</v>
      </c>
      <c r="B25" s="6" t="s">
        <v>226</v>
      </c>
      <c r="C25" s="7" t="s">
        <v>200</v>
      </c>
      <c r="D25" s="8">
        <v>508000</v>
      </c>
    </row>
    <row r="26" spans="1:4">
      <c r="A26" s="3">
        <v>13</v>
      </c>
      <c r="B26" s="6" t="s">
        <v>227</v>
      </c>
      <c r="C26" s="7" t="s">
        <v>206</v>
      </c>
      <c r="D26" s="4">
        <v>11</v>
      </c>
    </row>
    <row r="27" spans="1:4">
      <c r="A27" s="3">
        <v>14</v>
      </c>
      <c r="B27" s="6" t="s">
        <v>228</v>
      </c>
      <c r="C27" s="7" t="s">
        <v>200</v>
      </c>
      <c r="D27" s="8">
        <v>582000</v>
      </c>
    </row>
    <row r="28" spans="1:4">
      <c r="A28" s="3">
        <v>15</v>
      </c>
      <c r="B28" s="6" t="s">
        <v>229</v>
      </c>
      <c r="C28" s="7" t="s">
        <v>221</v>
      </c>
      <c r="D28" s="8">
        <v>320000</v>
      </c>
    </row>
    <row r="29" spans="1:4" ht="28.9">
      <c r="A29" s="3">
        <v>16</v>
      </c>
      <c r="B29" s="6" t="s">
        <v>230</v>
      </c>
      <c r="C29" s="7" t="s">
        <v>212</v>
      </c>
      <c r="D29" s="4" t="s">
        <v>231</v>
      </c>
    </row>
    <row r="30" spans="1:4">
      <c r="A30" s="3">
        <v>17</v>
      </c>
      <c r="B30" s="6" t="s">
        <v>232</v>
      </c>
      <c r="C30" s="7" t="s">
        <v>233</v>
      </c>
      <c r="D30" s="8">
        <v>76000</v>
      </c>
    </row>
    <row r="31" spans="1:4">
      <c r="A31" s="3">
        <v>18</v>
      </c>
      <c r="B31" s="6" t="s">
        <v>234</v>
      </c>
      <c r="C31" s="7" t="s">
        <v>235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MANSOOR RESH</dc:creator>
  <cp:keywords/>
  <dc:description/>
  <cp:lastModifiedBy/>
  <cp:revision/>
  <dcterms:created xsi:type="dcterms:W3CDTF">2026-09-09T05:55:57Z</dcterms:created>
  <dcterms:modified xsi:type="dcterms:W3CDTF">2026-10-30T05:14:03Z</dcterms:modified>
  <cp:category/>
  <cp:contentStatus/>
</cp:coreProperties>
</file>